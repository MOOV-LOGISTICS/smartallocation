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3" documentId="13_ncr:1_{D2B2A3A6-D45D-4BFB-9A7C-79BCB8097EB7}" xr6:coauthVersionLast="47" xr6:coauthVersionMax="47" xr10:uidLastSave="{2E7368C2-FF0B-4404-834B-E79F2DD13EC2}"/>
  <bookViews>
    <workbookView xWindow="-120" yWindow="-120" windowWidth="29040" windowHeight="15720" xr2:uid="{00000000-000D-0000-FFFF-FFFF00000000}"/>
  </bookViews>
  <sheets>
    <sheet name="Overview_early shipment" sheetId="1" r:id="rId1"/>
    <sheet name="Pivot" sheetId="2" r:id="rId2"/>
    <sheet name="SKI" sheetId="3" r:id="rId3"/>
  </sheets>
  <definedNames>
    <definedName name="_xlnm._FilterDatabase" localSheetId="0" hidden="1">'Overview_early shipment'!$A$1:$O$615</definedName>
    <definedName name="_xlnm._FilterDatabase" localSheetId="2" hidden="1">SKI!$A$1:$J$55</definedName>
  </definedNames>
  <calcPr calcId="191028"/>
  <pivotCaches>
    <pivotCache cacheId="2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tZemT7cFnfax1S3TyxWKrGUa7M7kWL31dzS2u9b4To="/>
    </ext>
  </extLst>
</workbook>
</file>

<file path=xl/calcChain.xml><?xml version="1.0" encoding="utf-8"?>
<calcChain xmlns="http://schemas.openxmlformats.org/spreadsheetml/2006/main">
  <c r="J615" i="1" l="1"/>
  <c r="I615" i="1"/>
  <c r="I614" i="1"/>
  <c r="J614" i="1"/>
  <c r="A61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2" i="1"/>
  <c r="I312" i="1"/>
  <c r="J312" i="1"/>
  <c r="I313" i="1"/>
  <c r="J313" i="1"/>
  <c r="I314" i="1"/>
  <c r="J314" i="1"/>
  <c r="I315" i="1"/>
  <c r="J315" i="1"/>
  <c r="I316" i="1"/>
  <c r="J316" i="1"/>
  <c r="K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K327" i="1" s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K334" i="1" s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K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K387" i="1" s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K423" i="1" s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K479" i="1" s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K492" i="1" s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K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K558" i="1" s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K456" i="1" l="1"/>
  <c r="K386" i="1"/>
  <c r="K359" i="1"/>
  <c r="K352" i="1"/>
  <c r="K587" i="1"/>
  <c r="K552" i="1"/>
  <c r="K344" i="1"/>
  <c r="K524" i="1"/>
  <c r="K510" i="1"/>
  <c r="K592" i="1"/>
  <c r="K503" i="1"/>
  <c r="K458" i="1"/>
  <c r="K312" i="1"/>
  <c r="K318" i="1"/>
  <c r="K414" i="1"/>
  <c r="K407" i="1"/>
  <c r="K379" i="1"/>
  <c r="K331" i="1"/>
  <c r="K502" i="1"/>
  <c r="K488" i="1"/>
  <c r="K406" i="1"/>
  <c r="K392" i="1"/>
  <c r="K571" i="1"/>
  <c r="K564" i="1"/>
  <c r="K536" i="1"/>
  <c r="K474" i="1"/>
  <c r="K419" i="1"/>
  <c r="K612" i="1"/>
  <c r="K605" i="1"/>
  <c r="K529" i="1"/>
  <c r="K514" i="1"/>
  <c r="K362" i="1"/>
  <c r="K8" i="1"/>
  <c r="K443" i="1"/>
  <c r="K346" i="1"/>
  <c r="K326" i="1"/>
  <c r="K394" i="1"/>
  <c r="K615" i="1"/>
  <c r="K504" i="1"/>
  <c r="K435" i="1"/>
  <c r="K404" i="1"/>
  <c r="K532" i="1"/>
  <c r="K436" i="1"/>
  <c r="K375" i="1"/>
  <c r="K355" i="1"/>
  <c r="K348" i="1"/>
  <c r="K518" i="1"/>
  <c r="K422" i="1"/>
  <c r="K388" i="1"/>
  <c r="K320" i="1"/>
  <c r="K314" i="1"/>
  <c r="K378" i="1"/>
  <c r="K323" i="1"/>
  <c r="K562" i="1"/>
  <c r="K595" i="1"/>
  <c r="K471" i="1"/>
  <c r="K389" i="1"/>
  <c r="K328" i="1"/>
  <c r="K539" i="1"/>
  <c r="K498" i="1"/>
  <c r="K450" i="1"/>
  <c r="K402" i="1"/>
  <c r="K594" i="1"/>
  <c r="K470" i="1"/>
  <c r="K566" i="1"/>
  <c r="K538" i="1"/>
  <c r="K483" i="1"/>
  <c r="K374" i="1"/>
  <c r="K354" i="1"/>
  <c r="K347" i="1"/>
  <c r="K340" i="1"/>
  <c r="K358" i="1"/>
  <c r="K473" i="1"/>
  <c r="K364" i="1"/>
  <c r="K330" i="1"/>
  <c r="K350" i="1"/>
  <c r="K356" i="1"/>
  <c r="K579" i="1"/>
  <c r="K544" i="1"/>
  <c r="K496" i="1"/>
  <c r="K448" i="1"/>
  <c r="K434" i="1"/>
  <c r="K584" i="1"/>
  <c r="K556" i="1"/>
  <c r="K528" i="1"/>
  <c r="K391" i="1"/>
  <c r="K534" i="1"/>
  <c r="K472" i="1"/>
  <c r="K575" i="1"/>
  <c r="K540" i="1"/>
  <c r="K499" i="1"/>
  <c r="K403" i="1"/>
  <c r="K376" i="1"/>
  <c r="K602" i="1"/>
  <c r="K519" i="1"/>
  <c r="K416" i="1"/>
  <c r="K315" i="1"/>
  <c r="K606" i="1"/>
  <c r="K599" i="1"/>
  <c r="K543" i="1"/>
  <c r="K523" i="1"/>
  <c r="K516" i="1"/>
  <c r="K495" i="1"/>
  <c r="K440" i="1"/>
  <c r="K420" i="1"/>
  <c r="K399" i="1"/>
  <c r="K339" i="1"/>
  <c r="K487" i="1"/>
  <c r="K466" i="1"/>
  <c r="K555" i="1"/>
  <c r="K591" i="1"/>
  <c r="K335" i="1"/>
  <c r="K413" i="1"/>
  <c r="K603" i="1"/>
  <c r="K598" i="1"/>
  <c r="K554" i="1"/>
  <c r="K537" i="1"/>
  <c r="K526" i="1"/>
  <c r="K486" i="1"/>
  <c r="K475" i="1"/>
  <c r="K418" i="1"/>
  <c r="K390" i="1"/>
  <c r="K368" i="1"/>
  <c r="K351" i="1"/>
  <c r="K329" i="1"/>
  <c r="K608" i="1"/>
  <c r="K586" i="1"/>
  <c r="K581" i="1"/>
  <c r="K570" i="1"/>
  <c r="K531" i="1"/>
  <c r="K508" i="1"/>
  <c r="K491" i="1"/>
  <c r="K480" i="1"/>
  <c r="K468" i="1"/>
  <c r="K463" i="1"/>
  <c r="K412" i="1"/>
  <c r="K400" i="1"/>
  <c r="K395" i="1"/>
  <c r="K560" i="1"/>
  <c r="K464" i="1"/>
  <c r="K396" i="1"/>
  <c r="K580" i="1"/>
  <c r="K490" i="1"/>
  <c r="K484" i="1"/>
  <c r="K462" i="1"/>
  <c r="K428" i="1"/>
  <c r="K411" i="1"/>
  <c r="K383" i="1"/>
  <c r="K372" i="1"/>
  <c r="K366" i="1"/>
  <c r="K322" i="1"/>
  <c r="K317" i="1"/>
  <c r="K509" i="1"/>
  <c r="K596" i="1"/>
  <c r="K574" i="1"/>
  <c r="K20" i="1"/>
  <c r="K32" i="1"/>
  <c r="K44" i="1"/>
  <c r="K56" i="1"/>
  <c r="K68" i="1"/>
  <c r="K80" i="1"/>
  <c r="K92" i="1"/>
  <c r="K104" i="1"/>
  <c r="K116" i="1"/>
  <c r="K128" i="1"/>
  <c r="K140" i="1"/>
  <c r="K152" i="1"/>
  <c r="K164" i="1"/>
  <c r="K590" i="1"/>
  <c r="K568" i="1"/>
  <c r="K506" i="1"/>
  <c r="K478" i="1"/>
  <c r="K455" i="1"/>
  <c r="K444" i="1"/>
  <c r="K433" i="1"/>
  <c r="K427" i="1"/>
  <c r="K410" i="1"/>
  <c r="K382" i="1"/>
  <c r="K360" i="1"/>
  <c r="K338" i="1"/>
  <c r="K582" i="1"/>
  <c r="K447" i="1"/>
  <c r="K430" i="1"/>
  <c r="K363" i="1"/>
  <c r="K3" i="1"/>
  <c r="K15" i="1"/>
  <c r="K27" i="1"/>
  <c r="K39" i="1"/>
  <c r="K51" i="1"/>
  <c r="K63" i="1"/>
  <c r="K75" i="1"/>
  <c r="K87" i="1"/>
  <c r="K99" i="1"/>
  <c r="K111" i="1"/>
  <c r="K123" i="1"/>
  <c r="K135" i="1"/>
  <c r="K303" i="1"/>
  <c r="K611" i="1"/>
  <c r="K600" i="1"/>
  <c r="K578" i="1"/>
  <c r="K567" i="1"/>
  <c r="K551" i="1"/>
  <c r="K494" i="1"/>
  <c r="K460" i="1"/>
  <c r="K432" i="1"/>
  <c r="K426" i="1"/>
  <c r="K398" i="1"/>
  <c r="K337" i="1"/>
  <c r="K148" i="1"/>
  <c r="K160" i="1"/>
  <c r="K172" i="1"/>
  <c r="K184" i="1"/>
  <c r="K196" i="1"/>
  <c r="K208" i="1"/>
  <c r="K220" i="1"/>
  <c r="K232" i="1"/>
  <c r="K244" i="1"/>
  <c r="K256" i="1"/>
  <c r="K268" i="1"/>
  <c r="K280" i="1"/>
  <c r="K292" i="1"/>
  <c r="K304" i="1"/>
  <c r="K610" i="1"/>
  <c r="K604" i="1"/>
  <c r="K588" i="1"/>
  <c r="K583" i="1"/>
  <c r="K527" i="1"/>
  <c r="K482" i="1"/>
  <c r="K459" i="1"/>
  <c r="K442" i="1"/>
  <c r="K431" i="1"/>
  <c r="K408" i="1"/>
  <c r="K336" i="1"/>
  <c r="K324" i="1"/>
  <c r="K585" i="1"/>
  <c r="K521" i="1"/>
  <c r="K511" i="1"/>
  <c r="K467" i="1"/>
  <c r="K452" i="1"/>
  <c r="K437" i="1"/>
  <c r="K393" i="1"/>
  <c r="K343" i="1"/>
  <c r="K550" i="1"/>
  <c r="K535" i="1"/>
  <c r="K520" i="1"/>
  <c r="K481" i="1"/>
  <c r="K476" i="1"/>
  <c r="K461" i="1"/>
  <c r="K451" i="1"/>
  <c r="K446" i="1"/>
  <c r="K569" i="1"/>
  <c r="K559" i="1"/>
  <c r="K515" i="1"/>
  <c r="K500" i="1"/>
  <c r="K485" i="1"/>
  <c r="K441" i="1"/>
  <c r="K377" i="1"/>
  <c r="K367" i="1"/>
  <c r="K342" i="1"/>
  <c r="K332" i="1"/>
  <c r="K341" i="1"/>
  <c r="K607" i="1"/>
  <c r="K563" i="1"/>
  <c r="K548" i="1"/>
  <c r="K533" i="1"/>
  <c r="K489" i="1"/>
  <c r="K425" i="1"/>
  <c r="K415" i="1"/>
  <c r="K371" i="1"/>
  <c r="K577" i="1"/>
  <c r="K572" i="1"/>
  <c r="K557" i="1"/>
  <c r="K547" i="1"/>
  <c r="K542" i="1"/>
  <c r="K454" i="1"/>
  <c r="K439" i="1"/>
  <c r="K424" i="1"/>
  <c r="K385" i="1"/>
  <c r="K380" i="1"/>
  <c r="K365" i="1"/>
  <c r="K345" i="1"/>
  <c r="K576" i="1"/>
  <c r="K546" i="1"/>
  <c r="K522" i="1"/>
  <c r="K512" i="1"/>
  <c r="K507" i="1"/>
  <c r="K438" i="1"/>
  <c r="K384" i="1"/>
  <c r="K319" i="1"/>
  <c r="K614" i="1"/>
  <c r="K349" i="1"/>
  <c r="K549" i="1"/>
  <c r="K145" i="1"/>
  <c r="K573" i="1"/>
  <c r="K525" i="1"/>
  <c r="K477" i="1"/>
  <c r="K429" i="1"/>
  <c r="K381" i="1"/>
  <c r="K333" i="1"/>
  <c r="K176" i="1"/>
  <c r="K188" i="1"/>
  <c r="K200" i="1"/>
  <c r="K212" i="1"/>
  <c r="K224" i="1"/>
  <c r="K236" i="1"/>
  <c r="K248" i="1"/>
  <c r="K260" i="1"/>
  <c r="K272" i="1"/>
  <c r="K284" i="1"/>
  <c r="K353" i="1"/>
  <c r="K501" i="1"/>
  <c r="K449" i="1"/>
  <c r="K453" i="1"/>
  <c r="K405" i="1"/>
  <c r="K357" i="1"/>
  <c r="K11" i="1"/>
  <c r="K23" i="1"/>
  <c r="K35" i="1"/>
  <c r="K47" i="1"/>
  <c r="K59" i="1"/>
  <c r="K71" i="1"/>
  <c r="K83" i="1"/>
  <c r="K95" i="1"/>
  <c r="K107" i="1"/>
  <c r="K119" i="1"/>
  <c r="K131" i="1"/>
  <c r="K143" i="1"/>
  <c r="K155" i="1"/>
  <c r="K167" i="1"/>
  <c r="K179" i="1"/>
  <c r="K191" i="1"/>
  <c r="K203" i="1"/>
  <c r="K215" i="1"/>
  <c r="K227" i="1"/>
  <c r="K239" i="1"/>
  <c r="K251" i="1"/>
  <c r="K263" i="1"/>
  <c r="K275" i="1"/>
  <c r="K287" i="1"/>
  <c r="K299" i="1"/>
  <c r="K311" i="1"/>
  <c r="K601" i="1"/>
  <c r="K553" i="1"/>
  <c r="K505" i="1"/>
  <c r="K457" i="1"/>
  <c r="K409" i="1"/>
  <c r="K361" i="1"/>
  <c r="K313" i="1"/>
  <c r="K589" i="1"/>
  <c r="K541" i="1"/>
  <c r="K445" i="1"/>
  <c r="K397" i="1"/>
  <c r="K493" i="1"/>
  <c r="K593" i="1"/>
  <c r="K545" i="1"/>
  <c r="K497" i="1"/>
  <c r="K401" i="1"/>
  <c r="K597" i="1"/>
  <c r="K609" i="1"/>
  <c r="K561" i="1"/>
  <c r="K513" i="1"/>
  <c r="K465" i="1"/>
  <c r="K417" i="1"/>
  <c r="K369" i="1"/>
  <c r="K321" i="1"/>
  <c r="K306" i="1"/>
  <c r="K613" i="1"/>
  <c r="K565" i="1"/>
  <c r="K517" i="1"/>
  <c r="K469" i="1"/>
  <c r="K421" i="1"/>
  <c r="K373" i="1"/>
  <c r="K325" i="1"/>
  <c r="K165" i="1"/>
  <c r="K225" i="1"/>
  <c r="K46" i="1"/>
  <c r="K58" i="1"/>
  <c r="K70" i="1"/>
  <c r="K82" i="1"/>
  <c r="K94" i="1"/>
  <c r="K106" i="1"/>
  <c r="K118" i="1"/>
  <c r="K130" i="1"/>
  <c r="K142" i="1"/>
  <c r="K302" i="1"/>
  <c r="K189" i="1"/>
  <c r="K249" i="1"/>
  <c r="K285" i="1"/>
  <c r="K22" i="1"/>
  <c r="K12" i="1"/>
  <c r="K24" i="1"/>
  <c r="K36" i="1"/>
  <c r="K48" i="1"/>
  <c r="K60" i="1"/>
  <c r="K72" i="1"/>
  <c r="K84" i="1"/>
  <c r="K96" i="1"/>
  <c r="K108" i="1"/>
  <c r="K120" i="1"/>
  <c r="K132" i="1"/>
  <c r="K144" i="1"/>
  <c r="K150" i="1"/>
  <c r="K156" i="1"/>
  <c r="K168" i="1"/>
  <c r="K180" i="1"/>
  <c r="K192" i="1"/>
  <c r="K204" i="1"/>
  <c r="K216" i="1"/>
  <c r="K228" i="1"/>
  <c r="K240" i="1"/>
  <c r="K252" i="1"/>
  <c r="K264" i="1"/>
  <c r="K276" i="1"/>
  <c r="K288" i="1"/>
  <c r="K153" i="1"/>
  <c r="K213" i="1"/>
  <c r="K34" i="1"/>
  <c r="K177" i="1"/>
  <c r="K201" i="1"/>
  <c r="K237" i="1"/>
  <c r="K261" i="1"/>
  <c r="K273" i="1"/>
  <c r="K10" i="1"/>
  <c r="K7" i="1"/>
  <c r="K19" i="1"/>
  <c r="K31" i="1"/>
  <c r="K43" i="1"/>
  <c r="K55" i="1"/>
  <c r="K67" i="1"/>
  <c r="K79" i="1"/>
  <c r="K91" i="1"/>
  <c r="K103" i="1"/>
  <c r="K115" i="1"/>
  <c r="K127" i="1"/>
  <c r="K139" i="1"/>
  <c r="K151" i="1"/>
  <c r="K163" i="1"/>
  <c r="K175" i="1"/>
  <c r="K187" i="1"/>
  <c r="K199" i="1"/>
  <c r="K211" i="1"/>
  <c r="K223" i="1"/>
  <c r="K235" i="1"/>
  <c r="K247" i="1"/>
  <c r="K259" i="1"/>
  <c r="K271" i="1"/>
  <c r="K283" i="1"/>
  <c r="K295" i="1"/>
  <c r="K307" i="1"/>
  <c r="K154" i="1"/>
  <c r="K190" i="1"/>
  <c r="K214" i="1"/>
  <c r="K250" i="1"/>
  <c r="K274" i="1"/>
  <c r="K298" i="1"/>
  <c r="K41" i="1"/>
  <c r="K77" i="1"/>
  <c r="K113" i="1"/>
  <c r="K137" i="1"/>
  <c r="K6" i="1"/>
  <c r="K30" i="1"/>
  <c r="K54" i="1"/>
  <c r="K66" i="1"/>
  <c r="K90" i="1"/>
  <c r="K102" i="1"/>
  <c r="K178" i="1"/>
  <c r="K226" i="1"/>
  <c r="K238" i="1"/>
  <c r="K17" i="1"/>
  <c r="K53" i="1"/>
  <c r="K101" i="1"/>
  <c r="K42" i="1"/>
  <c r="K78" i="1"/>
  <c r="K114" i="1"/>
  <c r="K126" i="1"/>
  <c r="K138" i="1"/>
  <c r="K166" i="1"/>
  <c r="K202" i="1"/>
  <c r="K262" i="1"/>
  <c r="K286" i="1"/>
  <c r="K310" i="1"/>
  <c r="K5" i="1"/>
  <c r="K29" i="1"/>
  <c r="K65" i="1"/>
  <c r="K89" i="1"/>
  <c r="K125" i="1"/>
  <c r="K149" i="1"/>
  <c r="K18" i="1"/>
  <c r="K297" i="1"/>
  <c r="K309" i="1"/>
  <c r="K233" i="1"/>
  <c r="K293" i="1"/>
  <c r="K305" i="1"/>
  <c r="K13" i="1"/>
  <c r="K25" i="1"/>
  <c r="K37" i="1"/>
  <c r="K49" i="1"/>
  <c r="K61" i="1"/>
  <c r="K73" i="1"/>
  <c r="K85" i="1"/>
  <c r="K97" i="1"/>
  <c r="K109" i="1"/>
  <c r="K121" i="1"/>
  <c r="K133" i="1"/>
  <c r="K162" i="1"/>
  <c r="K174" i="1"/>
  <c r="K186" i="1"/>
  <c r="K198" i="1"/>
  <c r="K210" i="1"/>
  <c r="K222" i="1"/>
  <c r="K234" i="1"/>
  <c r="K246" i="1"/>
  <c r="K258" i="1"/>
  <c r="K270" i="1"/>
  <c r="K282" i="1"/>
  <c r="K294" i="1"/>
  <c r="K300" i="1"/>
  <c r="K185" i="1"/>
  <c r="K269" i="1"/>
  <c r="K74" i="1"/>
  <c r="K193" i="1"/>
  <c r="K229" i="1"/>
  <c r="K146" i="1"/>
  <c r="K301" i="1"/>
  <c r="K161" i="1"/>
  <c r="K173" i="1"/>
  <c r="K197" i="1"/>
  <c r="K221" i="1"/>
  <c r="K245" i="1"/>
  <c r="K257" i="1"/>
  <c r="K2" i="1"/>
  <c r="K14" i="1"/>
  <c r="K38" i="1"/>
  <c r="K50" i="1"/>
  <c r="K86" i="1"/>
  <c r="K110" i="1"/>
  <c r="K122" i="1"/>
  <c r="K134" i="1"/>
  <c r="K157" i="1"/>
  <c r="K169" i="1"/>
  <c r="K205" i="1"/>
  <c r="K241" i="1"/>
  <c r="K265" i="1"/>
  <c r="K277" i="1"/>
  <c r="K9" i="1"/>
  <c r="K21" i="1"/>
  <c r="K33" i="1"/>
  <c r="K45" i="1"/>
  <c r="K57" i="1"/>
  <c r="K69" i="1"/>
  <c r="K81" i="1"/>
  <c r="K93" i="1"/>
  <c r="K105" i="1"/>
  <c r="K117" i="1"/>
  <c r="K129" i="1"/>
  <c r="K141" i="1"/>
  <c r="K147" i="1"/>
  <c r="K158" i="1"/>
  <c r="K170" i="1"/>
  <c r="K182" i="1"/>
  <c r="K194" i="1"/>
  <c r="K206" i="1"/>
  <c r="K218" i="1"/>
  <c r="K230" i="1"/>
  <c r="K242" i="1"/>
  <c r="K254" i="1"/>
  <c r="K266" i="1"/>
  <c r="K278" i="1"/>
  <c r="K290" i="1"/>
  <c r="K296" i="1"/>
  <c r="K308" i="1"/>
  <c r="K209" i="1"/>
  <c r="K281" i="1"/>
  <c r="K26" i="1"/>
  <c r="K62" i="1"/>
  <c r="K98" i="1"/>
  <c r="K181" i="1"/>
  <c r="K217" i="1"/>
  <c r="K253" i="1"/>
  <c r="K289" i="1"/>
  <c r="K4" i="1"/>
  <c r="K16" i="1"/>
  <c r="K28" i="1"/>
  <c r="K40" i="1"/>
  <c r="K52" i="1"/>
  <c r="K64" i="1"/>
  <c r="K76" i="1"/>
  <c r="K88" i="1"/>
  <c r="K100" i="1"/>
  <c r="K112" i="1"/>
  <c r="K124" i="1"/>
  <c r="K136" i="1"/>
  <c r="K159" i="1"/>
  <c r="K171" i="1"/>
  <c r="K183" i="1"/>
  <c r="K195" i="1"/>
  <c r="K207" i="1"/>
  <c r="K219" i="1"/>
  <c r="K231" i="1"/>
  <c r="K243" i="1"/>
  <c r="K255" i="1"/>
  <c r="K267" i="1"/>
  <c r="K279" i="1"/>
  <c r="K291" i="1"/>
</calcChain>
</file>

<file path=xl/sharedStrings.xml><?xml version="1.0" encoding="utf-8"?>
<sst xmlns="http://schemas.openxmlformats.org/spreadsheetml/2006/main" count="5153" uniqueCount="1044">
  <si>
    <t>IAN</t>
  </si>
  <si>
    <t>Lot (if avaible)</t>
  </si>
  <si>
    <t>Batch</t>
  </si>
  <si>
    <t>Article description</t>
  </si>
  <si>
    <t>TEU (can be shipped earlier &amp; immediatly)</t>
  </si>
  <si>
    <t>Official FOB week</t>
  </si>
  <si>
    <t>Possible CRD</t>
  </si>
  <si>
    <t>Supplier</t>
  </si>
  <si>
    <t>Differenz Wochen</t>
  </si>
  <si>
    <t>Comment</t>
  </si>
  <si>
    <t>POL</t>
    <phoneticPr fontId="6" type="noConversion"/>
  </si>
  <si>
    <t>DIV</t>
    <phoneticPr fontId="6" type="noConversion"/>
  </si>
  <si>
    <t>SUPPLIER</t>
    <phoneticPr fontId="6" type="noConversion"/>
  </si>
  <si>
    <t>508826-KOP-2</t>
  </si>
  <si>
    <t>Haartrockner AC Profi CHAC 2400 C3 Best KAT Haartrockner schwarz</t>
  </si>
  <si>
    <t>15/26</t>
  </si>
  <si>
    <t>13/26</t>
  </si>
  <si>
    <t>LKASIA</t>
  </si>
  <si>
    <t>CNNBO</t>
  </si>
  <si>
    <t>HG</t>
  </si>
  <si>
    <t>LIDL &amp; KL ASIA_IC / OWIM</t>
  </si>
  <si>
    <t>494644-RTM-3</t>
  </si>
  <si>
    <t>Schärfstation PSS 65 D1 Good</t>
  </si>
  <si>
    <t>14/26</t>
  </si>
  <si>
    <t>CNSHA</t>
  </si>
  <si>
    <t>520545-BCN-2</t>
  </si>
  <si>
    <t>Fußsprudelbad SFB 80 A3 KAT</t>
  </si>
  <si>
    <t>CNXMN</t>
  </si>
  <si>
    <t>520545-KOP-3</t>
  </si>
  <si>
    <t>520545-RTM-6</t>
  </si>
  <si>
    <t>520545-RTM-7</t>
  </si>
  <si>
    <t>539652-BCN-1</t>
  </si>
  <si>
    <t>Plüsch Paw Patrol 30 cm Lizenz</t>
  </si>
  <si>
    <t>16/26</t>
  </si>
  <si>
    <t>CNTAO</t>
  </si>
  <si>
    <t>539652-KOP-4</t>
  </si>
  <si>
    <t>539652-RTM-1</t>
  </si>
  <si>
    <t>486031-RTM-7</t>
  </si>
  <si>
    <t>Holz Küche mit Licht, Sound und Dampfenden Topf FSC KAT</t>
  </si>
  <si>
    <t>16/25</t>
  </si>
  <si>
    <t>486031-RTM-8</t>
  </si>
  <si>
    <t>486033-RTM-8</t>
  </si>
  <si>
    <t>Holz Lebensmittel FSC KAT</t>
  </si>
  <si>
    <t>547366-NOR-1</t>
  </si>
  <si>
    <t>Spielzelt Paw Patrol Lizenz USA</t>
  </si>
  <si>
    <t>547367-NOR-1</t>
  </si>
  <si>
    <t>Plüsch Paw Patrol 30 cm Lizenz USA</t>
  </si>
  <si>
    <t>515342-ANR-1</t>
  </si>
  <si>
    <t>H Slip 10er CO/EL</t>
  </si>
  <si>
    <t>KHKOS</t>
  </si>
  <si>
    <t>TEX</t>
  </si>
  <si>
    <t>515342-RTM-1</t>
  </si>
  <si>
    <t>502294-RTM-6</t>
  </si>
  <si>
    <t>Säbelsäge 30mm PPFS 1200 A1 Best</t>
  </si>
  <si>
    <t>500524-BCN-2</t>
  </si>
  <si>
    <t>Memory-Foam Sattelbezug KAT</t>
  </si>
  <si>
    <t>CNTAC</t>
  </si>
  <si>
    <t>500524-KOP-7</t>
  </si>
  <si>
    <t>500524-RTM-6</t>
  </si>
  <si>
    <t>495524-RTM-6</t>
  </si>
  <si>
    <t>20V Akku-Säbelsäge Starterset PSSAP 20 Li E5 (mit Akku und Ladegerät) Best</t>
  </si>
  <si>
    <t>515327-ANR-1</t>
  </si>
  <si>
    <t>H Boxer 10er XXL CO/EL</t>
  </si>
  <si>
    <t>515327-BCN-2</t>
  </si>
  <si>
    <t>17/26</t>
  </si>
  <si>
    <t>515327-KOP-1</t>
  </si>
  <si>
    <t>515327-RTM-1</t>
  </si>
  <si>
    <t>500526-BCN-3</t>
  </si>
  <si>
    <t>Fahrrad Multifunktionstool / Untersatteltasche mit Werkzeug / Minipumpe mit Manometer KAT</t>
  </si>
  <si>
    <t>500526-KOP-5</t>
  </si>
  <si>
    <t>500526-RTM-6</t>
  </si>
  <si>
    <t>500526-RTM-7</t>
  </si>
  <si>
    <t>514780-ANR-1</t>
  </si>
  <si>
    <t>Fahrradabdeckung KAT</t>
  </si>
  <si>
    <t>514780-BCN-1</t>
  </si>
  <si>
    <t>514780-KOP-1</t>
  </si>
  <si>
    <t>514780-RTM-1</t>
  </si>
  <si>
    <t>551163-BCN-1</t>
  </si>
  <si>
    <t>Eckspannermappe, Sichtbuch, A3 und A4 PP</t>
  </si>
  <si>
    <t>495857-RTM-3</t>
  </si>
  <si>
    <t>20V Akku-Drehschlagschrauber 1/2 Starterset PASSP 20-Li C4 (mit Akku und Ladegerät) Best</t>
  </si>
  <si>
    <t>18/26</t>
  </si>
  <si>
    <t>495857-KOP-7</t>
  </si>
  <si>
    <t>496459-RTM-3</t>
  </si>
  <si>
    <t>HDR Aufsätze Sortiment</t>
  </si>
  <si>
    <t>504703-RTM-3</t>
  </si>
  <si>
    <t>Bohr- und Meißelhammer PPBH 1050 A1 Best</t>
  </si>
  <si>
    <t>507533-RTM-2</t>
  </si>
  <si>
    <t>Elektro-Regenfasspumpe PERP 4000 D3 Good</t>
  </si>
  <si>
    <t>507537-RTM-3</t>
  </si>
  <si>
    <t>Bewässerungscomputer GRS PBCG B2 Good</t>
  </si>
  <si>
    <t>CNYTN</t>
  </si>
  <si>
    <t>507542-RTM-3</t>
  </si>
  <si>
    <t>Schlauchwagen Good</t>
  </si>
  <si>
    <t>508081-RTM-4</t>
  </si>
  <si>
    <t>20V Akku-Heckenschere PAHS 35 A1 Good (ohne Akku und Ladegerät)</t>
  </si>
  <si>
    <t>507554-RTM-2</t>
  </si>
  <si>
    <t>4V Akku-Drucksprüher 1l PADS 1 A1 Good (mit Akku ohne Ladegerät)</t>
  </si>
  <si>
    <t>494802-RTM-5</t>
  </si>
  <si>
    <t>4V Akku-Schrauber mit Tauschaufsätzen PAS 4 D7 (inkl. integriertem Akku und Ladekabel)</t>
  </si>
  <si>
    <t>19/26</t>
  </si>
  <si>
    <t>494815-RTM-3</t>
  </si>
  <si>
    <t>Handkreissäge 1800W PPHKS 1800 A2 Best</t>
  </si>
  <si>
    <t>516958-BCN-2</t>
  </si>
  <si>
    <t>K J M Sneakersocken OCS 10er CO/PA/EL</t>
  </si>
  <si>
    <t>20/25</t>
  </si>
  <si>
    <t>IDJKT</t>
  </si>
  <si>
    <t>516958-KOP-3</t>
  </si>
  <si>
    <t>20/26</t>
  </si>
  <si>
    <t>506774-RTM-2</t>
  </si>
  <si>
    <t>Strandstuhl faltbar mit Armlehnen Stahl/Polyester</t>
  </si>
  <si>
    <t>514681-BCN-1</t>
  </si>
  <si>
    <t>D H Sneakersocken 10er PES/EL Good</t>
  </si>
  <si>
    <t>21/26</t>
  </si>
  <si>
    <t>514681-KOP-1</t>
  </si>
  <si>
    <t>528469-ANR-1</t>
  </si>
  <si>
    <t>D Achselhemd 3er MFP CO/EL VA</t>
  </si>
  <si>
    <t>LKCMB</t>
  </si>
  <si>
    <t>508418-ANR-2</t>
  </si>
  <si>
    <t>D Spaghettiträgerhemd 3er MFP CO/EL KAT VA</t>
  </si>
  <si>
    <t>508418-BCN-4</t>
  </si>
  <si>
    <t>508418-KOP-4</t>
  </si>
  <si>
    <t>528500-ANR-1</t>
  </si>
  <si>
    <t>D Hipster 5er MFP CO/EL VA</t>
  </si>
  <si>
    <t>528500-BCN-2</t>
  </si>
  <si>
    <t>528500-KOP-1</t>
  </si>
  <si>
    <t>508402-ANR-2</t>
  </si>
  <si>
    <t>D Slip 5er MFP CO/EL KAT VA</t>
  </si>
  <si>
    <t>508402-BCN-4</t>
  </si>
  <si>
    <t>508402-KOP-4</t>
  </si>
  <si>
    <t>508402-RTM-6</t>
  </si>
  <si>
    <t>496286-RTM-6</t>
  </si>
  <si>
    <t>20V Akku-Tacker PAT 20-Li A1 (ohne Akku und Ladegerät)</t>
  </si>
  <si>
    <t>494210-RTM-5</t>
  </si>
  <si>
    <t>12V / 20V Akku-Drucksprüher PDSA D3 (ohne Akku und Ladegerät)</t>
  </si>
  <si>
    <t>515578-BCN-1</t>
  </si>
  <si>
    <t>D H Sportsocken 3er PES/EL Good</t>
  </si>
  <si>
    <t>23/26</t>
  </si>
  <si>
    <t>515578-KOP-1</t>
  </si>
  <si>
    <t>515578-RTM-1</t>
  </si>
  <si>
    <t>494222-RTM-4</t>
  </si>
  <si>
    <t>20V Akku-Universalstreuer PUSA B1 (ohne Akku und Ladegerät)</t>
  </si>
  <si>
    <t>22/26</t>
  </si>
  <si>
    <t>496192-BCN-7</t>
  </si>
  <si>
    <t>Packband 3er transparent/braun KAT</t>
  </si>
  <si>
    <t>496192-KOP-8</t>
  </si>
  <si>
    <t>496461-RTM-3</t>
  </si>
  <si>
    <t>Hochdruckreiniger PHDS 110 C3 Silent</t>
  </si>
  <si>
    <t>513993-BCN-1</t>
  </si>
  <si>
    <t>H Jeans Slim fit CO/EL Best</t>
  </si>
  <si>
    <t>24/26</t>
  </si>
  <si>
    <t>PKKHI</t>
  </si>
  <si>
    <t>513993-KOP-1</t>
  </si>
  <si>
    <t>508413-BCN-4</t>
  </si>
  <si>
    <t>D Top Rippe mit Spitze 3er MFP CO/EL KAT</t>
  </si>
  <si>
    <t>508413-KOP-4</t>
  </si>
  <si>
    <t>508413-RTM-5</t>
  </si>
  <si>
    <t>508413-ANR-2</t>
  </si>
  <si>
    <t>508247-RTM-2</t>
  </si>
  <si>
    <t>Universal Transporthilfen, FSC KAT</t>
  </si>
  <si>
    <t>509738-RTM-3</t>
  </si>
  <si>
    <t>Säbelsäge PFS 850 C3 KAT</t>
  </si>
  <si>
    <t>509740-RTM-5</t>
  </si>
  <si>
    <t>Werkzeugbox Metall mit 4V Akku Schrauber Set 92tlg. PWBM A1</t>
  </si>
  <si>
    <t>509752-RTM-5</t>
  </si>
  <si>
    <t>Schraubendrehersatz mit Wandhalterung 37 tlg.</t>
  </si>
  <si>
    <t>513269-RTM-3</t>
  </si>
  <si>
    <t>Digitale Lötstation PLSD 60 C3</t>
  </si>
  <si>
    <t>472140-RTM-3</t>
  </si>
  <si>
    <t>Kunststoff-Schweißpistole PKSP 50 A1</t>
  </si>
  <si>
    <t>472140-ANR-3</t>
  </si>
  <si>
    <t>506379-RTM-4</t>
  </si>
  <si>
    <t>Kompressor mit digitaler Anzeige tragbar 12V / 230V PMK 150 A1</t>
  </si>
  <si>
    <t>506389-RTM-5</t>
  </si>
  <si>
    <t>Kunststoff-Schweißpistole PKSP 50 B1</t>
  </si>
  <si>
    <t>514435-KOP-1</t>
  </si>
  <si>
    <t>FIX10 12V Akku 2,5 Ah Best KAT</t>
  </si>
  <si>
    <t>514435-RTM-1</t>
  </si>
  <si>
    <t>514435-KOP-2</t>
  </si>
  <si>
    <t>514448-KOP-1</t>
  </si>
  <si>
    <t>FIX10 12V Akku 2Ah PAPK 12 A4 2er und Ladegerät 2,4A PLGK 12 A3 KAT</t>
  </si>
  <si>
    <t>514448-RTM-1</t>
  </si>
  <si>
    <t>514448-KOP-2</t>
  </si>
  <si>
    <t>540710-KOP-1</t>
  </si>
  <si>
    <t>FIX10 12V Akku-Ladegerät 6 A Best KAT</t>
  </si>
  <si>
    <t>540710-RTM-1</t>
  </si>
  <si>
    <t>540710-RTM-2</t>
  </si>
  <si>
    <t>495193-BCN-4</t>
  </si>
  <si>
    <t>Shiatsu Massagekissen SSM 12 A1 KAT</t>
  </si>
  <si>
    <t>495193-KOP-3</t>
  </si>
  <si>
    <t>495193-RTM-3</t>
  </si>
  <si>
    <t>514436-BCN-1</t>
  </si>
  <si>
    <t>FIX10 12V Akku 5 Ah Best KAT</t>
  </si>
  <si>
    <t>26/26</t>
  </si>
  <si>
    <t>514436-KOP-1</t>
  </si>
  <si>
    <t>514436-RTM-1</t>
  </si>
  <si>
    <t>514436-RTM-2</t>
  </si>
  <si>
    <t>514439-BCN-1</t>
  </si>
  <si>
    <t>FIX10 12V Akku 2,5 Ah und Ladegerät 6 A Best KAT</t>
  </si>
  <si>
    <t>514439-KOP-1</t>
  </si>
  <si>
    <t>514439-RTM-1</t>
  </si>
  <si>
    <t>514439-RTM-2</t>
  </si>
  <si>
    <t>537604-RTM-3</t>
  </si>
  <si>
    <t>Ersatzspulen PRTS 5 B1 / PRTS 4 C1 (OS-Only)</t>
  </si>
  <si>
    <t>25/26</t>
  </si>
  <si>
    <t>506695-KOP-3</t>
  </si>
  <si>
    <t>D H Sportsocken LIDL CO/PA/EL</t>
  </si>
  <si>
    <t>508113-RTM-4</t>
  </si>
  <si>
    <t>4V Akku-Metalldetektor PAMD 4 A1 (mit Akku ohne Ladegerät)</t>
  </si>
  <si>
    <t>CNFOC</t>
  </si>
  <si>
    <t>508293-RTM-3</t>
  </si>
  <si>
    <t>12V Akku 4 Ah PAPK 12 B4</t>
  </si>
  <si>
    <t>27/26</t>
  </si>
  <si>
    <t>508296-RTM-3</t>
  </si>
  <si>
    <t>12V Akku 2Ah PAPK 12 A4 und Ladegerät 2,4A PLGK 12 A3</t>
  </si>
  <si>
    <t>508300-RTM-3</t>
  </si>
  <si>
    <t>12V Akku 4 Ah PAPK 12 B4 mit 12V Akku 2Ah PAPK 12 A4 und Ladegerät 2,4A PLGK 12 A3</t>
  </si>
  <si>
    <t>506404-RTM-4</t>
  </si>
  <si>
    <t>Meißelschraubendreher 13-tlg. Best</t>
  </si>
  <si>
    <t>28/26</t>
  </si>
  <si>
    <t>539753-RTM-2 </t>
  </si>
  <si>
    <t>Bettwäsche Mikrofaser Satin Normalgröße PES Lizenz Good 3fach sort.</t>
  </si>
  <si>
    <t>KLAUS HERDING</t>
  </si>
  <si>
    <t>495855-RTM-5</t>
  </si>
  <si>
    <t>Filtertüten PFT 20 A1 12tlg FSC/ Vliesfilterbeutel PVFT 20 A1 5tlg KAT, 2 fach</t>
  </si>
  <si>
    <t>GRIZZLY</t>
  </si>
  <si>
    <t>520619-RTM-2</t>
  </si>
  <si>
    <t>20V Akku-Luftpumpe PALP 20-Li C3 / Akku- Kompressor PAK 20-Li C3, Set (oAL) KAT</t>
  </si>
  <si>
    <t>494218-RTM-8</t>
  </si>
  <si>
    <t>20V Akku-Heckenschere PHSA 20-Li D4 (oAL) KAT</t>
  </si>
  <si>
    <t>494214-RTM-11</t>
  </si>
  <si>
    <t>20V Akku-Rasentrimmer PRTA 20-Li D3 (oAL) KAT</t>
  </si>
  <si>
    <t>496471-RTM-8</t>
  </si>
  <si>
    <t>Hochdruckreiniger PHD 170 E3 KAT</t>
  </si>
  <si>
    <t>494638-RTM-4</t>
  </si>
  <si>
    <t>Tischbohrmaschine PTBM 450 A1 KAT</t>
  </si>
  <si>
    <t>514864-RTM-2</t>
  </si>
  <si>
    <t>Filtertüten PFT 30 A1 10tlg FSC/ Vliesfilterbeutel PVFT 30 A1 4tlg, 2 fach sort.</t>
  </si>
  <si>
    <t>495694-RTM-7</t>
  </si>
  <si>
    <t>Hochdruckreiniger PHDP 180 D3 Best KAT</t>
  </si>
  <si>
    <t>540842-RTM-2</t>
  </si>
  <si>
    <t>Filtertüten PFT 20 A1 20tlg. FSC XXL</t>
  </si>
  <si>
    <t>516200-RTM-1</t>
  </si>
  <si>
    <t>D Strickkleid RCS PAN/PES/EA 3 fach sort.</t>
  </si>
  <si>
    <t>SUPREMA</t>
  </si>
  <si>
    <t>BDCGP</t>
  </si>
  <si>
    <t>515571-RTM-1</t>
  </si>
  <si>
    <t>Tischdecke 130x170cm / Tischläufer 50x150cm 2er PES 3fach sort</t>
  </si>
  <si>
    <t>Wolly</t>
  </si>
  <si>
    <t>532536-RTM-3</t>
  </si>
  <si>
    <t>Plantstand</t>
  </si>
  <si>
    <t>532536-RTM-4</t>
  </si>
  <si>
    <t>36/26</t>
  </si>
  <si>
    <t>494681-RTM-4</t>
  </si>
  <si>
    <t>Smoothie Maker Kunststoff mit Akku</t>
  </si>
  <si>
    <t>Kompernass</t>
  </si>
  <si>
    <t>Kompernaß Handelsgesellschaft mbH</t>
  </si>
  <si>
    <t>494712-RTM-4</t>
  </si>
  <si>
    <t>Popcorn Maker</t>
  </si>
  <si>
    <t>494712-KOP-4</t>
  </si>
  <si>
    <t>494712-BCN-4</t>
  </si>
  <si>
    <t>517296-BCN-1</t>
  </si>
  <si>
    <t>Deckenstütze</t>
  </si>
  <si>
    <t>517296-KOP-3</t>
  </si>
  <si>
    <t>517296-RTM-1</t>
  </si>
  <si>
    <t>517296-BCN-2</t>
  </si>
  <si>
    <t>517296-KOP-1</t>
  </si>
  <si>
    <t>517296-KOP-2</t>
  </si>
  <si>
    <t>496869-RTM-5</t>
  </si>
  <si>
    <t>2in1 Hand- und Stielstaubsauger</t>
  </si>
  <si>
    <t>500199-RTM-4</t>
  </si>
  <si>
    <t>Saugroboter</t>
  </si>
  <si>
    <t>514817-RTM-1</t>
  </si>
  <si>
    <t>D H Einlegesohlen Sport PES 2fach sort.</t>
  </si>
  <si>
    <t>RIEG&amp;NIEDERM.</t>
  </si>
  <si>
    <t>514817-KOP-1</t>
  </si>
  <si>
    <t>514817-BCN-1</t>
  </si>
  <si>
    <t>522851-RTM-1</t>
  </si>
  <si>
    <t>D Strickkleid RCS PAN/PES/EL 2 fach sort.</t>
  </si>
  <si>
    <t>522170-RTM-1</t>
  </si>
  <si>
    <t>D Pullover Strick GRS PES/EL 3 fach sort.</t>
  </si>
  <si>
    <t>522170-RTM-2</t>
  </si>
  <si>
    <t>515210-BCN-1</t>
  </si>
  <si>
    <t>KK M J T-Shirt 2er</t>
  </si>
  <si>
    <t>BAYCITY</t>
  </si>
  <si>
    <t>BAYCITY / OWIM</t>
  </si>
  <si>
    <t>515210-RTM-1</t>
  </si>
  <si>
    <t>515257-BCN-1</t>
  </si>
  <si>
    <t>H Cargo Shorts</t>
  </si>
  <si>
    <t>515383-BCN-2</t>
  </si>
  <si>
    <t>KK M J Pyjama Wirk lang/lang</t>
  </si>
  <si>
    <t>515383-KOP-2</t>
  </si>
  <si>
    <t>515383-RTM-3</t>
  </si>
  <si>
    <t>515385-BCN-1</t>
  </si>
  <si>
    <t>KK M J Langarmshirt</t>
  </si>
  <si>
    <t>515385-KOP-1</t>
  </si>
  <si>
    <t>515385-RTM-1</t>
  </si>
  <si>
    <t>515383-BCN-1</t>
  </si>
  <si>
    <t>515383-KOP-1</t>
  </si>
  <si>
    <t>515383-RTM-2</t>
  </si>
  <si>
    <t>515383-KOP-3</t>
  </si>
  <si>
    <t>515383-RTM-1</t>
  </si>
  <si>
    <t>514001-KOP-2</t>
  </si>
  <si>
    <t>D Langarmshirt 2er</t>
  </si>
  <si>
    <t>514001-RTM-2</t>
  </si>
  <si>
    <t>514001-RTM-3</t>
  </si>
  <si>
    <t>514001-KOP-1</t>
  </si>
  <si>
    <t>514001-RTM-1</t>
  </si>
  <si>
    <t>514260-KOP-2</t>
  </si>
  <si>
    <t>H Weste Cord</t>
  </si>
  <si>
    <t>546435-KOP-2</t>
  </si>
  <si>
    <t>D Bomberjacke Velours</t>
  </si>
  <si>
    <t>514001-BCN-1</t>
  </si>
  <si>
    <t>514001-KOP-3</t>
  </si>
  <si>
    <t>514224-KOP-2</t>
  </si>
  <si>
    <t>D Trenchjacke kurz</t>
  </si>
  <si>
    <t>514234-BCN-1</t>
  </si>
  <si>
    <t>D Steppweste</t>
  </si>
  <si>
    <t>494924-RTM-7</t>
  </si>
  <si>
    <t>Schlafsack Mumie/Decke GRS KAT,2 fach sort.</t>
  </si>
  <si>
    <t>Delta Sport</t>
  </si>
  <si>
    <t>DELTA SPORT / OWIM</t>
  </si>
  <si>
    <t>504796-BCN-2</t>
  </si>
  <si>
    <t>Campingstuhl faltbar Good KAT, 2 fach sort.</t>
  </si>
  <si>
    <t>504796-KOP-5</t>
  </si>
  <si>
    <t>504796-RTM-6</t>
  </si>
  <si>
    <t>504796-RTM-8</t>
  </si>
  <si>
    <t>504805-KOP-4</t>
  </si>
  <si>
    <t>Campingtisch Alu faltbar KAT</t>
  </si>
  <si>
    <t>504805-RTM-4</t>
  </si>
  <si>
    <t>511324-KOP-3</t>
  </si>
  <si>
    <t>Campingdusche 25L, Campingspüle faltbar, Wasserkanister KAT, 3 fach sort.</t>
  </si>
  <si>
    <t>511324-RTM-4</t>
  </si>
  <si>
    <t>518863-BCN-5</t>
  </si>
  <si>
    <t>Messersortierung KAT, 3 fach sort.</t>
  </si>
  <si>
    <t>518863-KOP-5</t>
  </si>
  <si>
    <t>518863-RTM-5</t>
  </si>
  <si>
    <t>519509-KOP-3</t>
  </si>
  <si>
    <t>Schlafsack Good KAT, 2 fach sort.</t>
  </si>
  <si>
    <t>519509-RTM-6</t>
  </si>
  <si>
    <t>526647-KOP-3</t>
  </si>
  <si>
    <t>Schlafsack Mumie/Decke GRS KAT Deckenschlafsack grau</t>
  </si>
  <si>
    <t>526654-KOP-3</t>
  </si>
  <si>
    <t>Campingstuhl faltbar Good KAT Campingstuhl grau</t>
  </si>
  <si>
    <t>526657-KOP-3</t>
  </si>
  <si>
    <t>Campingstuhl faltbar Good KAT Campingstuhl grün</t>
  </si>
  <si>
    <t>528981-KOP-4</t>
  </si>
  <si>
    <t>Schlafsack Good KAT Mumienschlafsack Good grau / grau</t>
  </si>
  <si>
    <t>528982-KOP-4</t>
  </si>
  <si>
    <t>Schlafsack Good KAT Deckenschlafsack Good grün / grau</t>
  </si>
  <si>
    <t>530969-KOP-2</t>
  </si>
  <si>
    <t>Campingdusche 25L, Campingspüle faltbar, Wasserkanister KAT Campingdusche</t>
  </si>
  <si>
    <t>530971-KOP-2</t>
  </si>
  <si>
    <t>Campingdusche 25L, Campingspüle faltbar, Wasserkanister KAT Campingspüle</t>
  </si>
  <si>
    <t>530974-KOP-2</t>
  </si>
  <si>
    <t>Campingdusche 25L, Campingspüle faltbar, Wasserkanister KAT Wasserkanister faltbar</t>
  </si>
  <si>
    <t>537161-KOP-3</t>
  </si>
  <si>
    <t>Luftbett Camping 191 x 132 x 22 cm</t>
  </si>
  <si>
    <t>537161-RTM-5</t>
  </si>
  <si>
    <t>496381-RTM-3</t>
  </si>
  <si>
    <t>Kinder Regal magnetisch für Audiosystem FSC, 2 fach sort.</t>
  </si>
  <si>
    <t>515862-RTM-1</t>
  </si>
  <si>
    <t>Metallregal ausziehbar KAT</t>
  </si>
  <si>
    <t>525566-BCN-2</t>
  </si>
  <si>
    <t>Fitness- und Yogamatte PVC 183 x 61 x 0,6 cm KAT, 2 fach sort.</t>
  </si>
  <si>
    <t>525566-KOP-4</t>
  </si>
  <si>
    <t>525566-RTM-2</t>
  </si>
  <si>
    <t>494846-KOP-3</t>
  </si>
  <si>
    <t>Fahrradcomputer kabellos KAT</t>
  </si>
  <si>
    <t>494846-RTM-3</t>
  </si>
  <si>
    <t>494848-KOP-4</t>
  </si>
  <si>
    <t>Fahrrad Gepäcktaschen KAT, 2 fach sort.</t>
  </si>
  <si>
    <t>494848-RTM-7</t>
  </si>
  <si>
    <t>494850-BCN-2</t>
  </si>
  <si>
    <t>Rucksack Fahrrad KAT, 2 fach sort.</t>
  </si>
  <si>
    <t>494850-KOP-6</t>
  </si>
  <si>
    <t>494850-RTM-4</t>
  </si>
  <si>
    <t>497051-BCN-2</t>
  </si>
  <si>
    <t>Fahrradwerkzeugkoffer 20-tlg. KAT</t>
  </si>
  <si>
    <t>497051-KOP-4</t>
  </si>
  <si>
    <t>497051-RTM-5</t>
  </si>
  <si>
    <t>500552-BCN-2</t>
  </si>
  <si>
    <t>Fahrrad Montageständer KAT</t>
  </si>
  <si>
    <t>500552-KOP-8</t>
  </si>
  <si>
    <t>500552-RTM-10</t>
  </si>
  <si>
    <t>500552-RTM-11</t>
  </si>
  <si>
    <t>500577-BCN-2</t>
  </si>
  <si>
    <t>Fahrradschlosssortierung - Good KAT, 3 fach sort.</t>
  </si>
  <si>
    <t>500577-KOP-4</t>
  </si>
  <si>
    <t>500577-RTM-4</t>
  </si>
  <si>
    <t>507050-RTM-4</t>
  </si>
  <si>
    <t>Loungeecke braun mit Tisch  Polyrattan Best</t>
  </si>
  <si>
    <t>507050-RTM-5</t>
  </si>
  <si>
    <t>507974-RTM-4</t>
  </si>
  <si>
    <t>Pavillon XL 6x3x2,5m Good</t>
  </si>
  <si>
    <t>511324-BCN-2</t>
  </si>
  <si>
    <t>511324-KOP-2</t>
  </si>
  <si>
    <t>536793-BCN-1</t>
  </si>
  <si>
    <t>KK Rucksack Ryder's Dino Backpack (Movie exclusive), 2 fach sort.</t>
  </si>
  <si>
    <t>536793-KOP-2</t>
  </si>
  <si>
    <t>536793-RTM-1</t>
  </si>
  <si>
    <t>500096-RTM-10</t>
  </si>
  <si>
    <t>Haushaltsleiter Aluminium, 4-stufig KAT</t>
  </si>
  <si>
    <t>494848-BCN-2</t>
  </si>
  <si>
    <t>496180-BCN-2</t>
  </si>
  <si>
    <t>Interlock-Organizer Set 3tlg. KAT</t>
  </si>
  <si>
    <t>496180-KOP-3</t>
  </si>
  <si>
    <t>496180-RTM-5</t>
  </si>
  <si>
    <t>496180-RTM-7</t>
  </si>
  <si>
    <t>508652-RTM-2</t>
  </si>
  <si>
    <t>Schuhregal Bambus FSC</t>
  </si>
  <si>
    <t>500552-RTM-8</t>
  </si>
  <si>
    <t>516901-KOP-1</t>
  </si>
  <si>
    <t>Aufbewahrungskorb 9,5L 1er/ 3,3L 2er KAT, 4 fach sort.</t>
  </si>
  <si>
    <t>516901-RTM-3</t>
  </si>
  <si>
    <t>494829-RTM-5</t>
  </si>
  <si>
    <t>Sackkarre klappbar 100 kg</t>
  </si>
  <si>
    <t>504796-RTM-7</t>
  </si>
  <si>
    <t>511324-RTM-3</t>
  </si>
  <si>
    <t>512396-BCN-4</t>
  </si>
  <si>
    <t>Sporttasche / Sportrucksack Good KAT, 3 fach sort.</t>
  </si>
  <si>
    <t>512396-KOP-5</t>
  </si>
  <si>
    <t>512396-RTM-6</t>
  </si>
  <si>
    <t>514717-KOP-1</t>
  </si>
  <si>
    <t>Hundebett (selbstwärmend/selbstkühlend) Größe M Best KAT</t>
  </si>
  <si>
    <t>514717-RTM-1</t>
  </si>
  <si>
    <t>516497-KOP-1</t>
  </si>
  <si>
    <t>Rucksack, Turnbeutel, Federmäppchen Lizenz, 4 fach sort.</t>
  </si>
  <si>
    <t>516497-RTM-2</t>
  </si>
  <si>
    <t>525566-KOP-2</t>
  </si>
  <si>
    <t>537161-RTM-4</t>
  </si>
  <si>
    <t>539948-BCN-1</t>
  </si>
  <si>
    <t>Laufrucksack / -weste KAT, 3 fach sort.</t>
  </si>
  <si>
    <t>539948-KOP-1</t>
  </si>
  <si>
    <t>539948-RTM-1</t>
  </si>
  <si>
    <t>528025-RTM-2</t>
  </si>
  <si>
    <t>Baby Reisebett KAT</t>
  </si>
  <si>
    <t>495957-BCN-3</t>
  </si>
  <si>
    <t>Gartensäge KAT, 2 fach sort.</t>
  </si>
  <si>
    <t>495957-KOP-4</t>
  </si>
  <si>
    <t>495957-RTM-3</t>
  </si>
  <si>
    <t>509087-RTM-3</t>
  </si>
  <si>
    <t>Kofferraumaufbewahrungsboxen Best KAT, 3 fach sort.</t>
  </si>
  <si>
    <t>509369-RTM-3</t>
  </si>
  <si>
    <t>Fußball Dartscheibe aufblasbar</t>
  </si>
  <si>
    <t>513957-BCN-1</t>
  </si>
  <si>
    <t>Spaten mit Wurzelsäge / Schaufel mit Wellenschliff, 2 fach sort.</t>
  </si>
  <si>
    <t>CNTNG</t>
  </si>
  <si>
    <t>513957-KOP-1</t>
  </si>
  <si>
    <t>513957-RTM-1</t>
  </si>
  <si>
    <t>515409-RTM-2</t>
  </si>
  <si>
    <t>Betttablett Bambus FSC, 1 fach sort.</t>
  </si>
  <si>
    <t>518249-KOP-2</t>
  </si>
  <si>
    <t>Gartenhocker auf Rädern mit Staufach 21″ 130kg GRS</t>
  </si>
  <si>
    <t>519275-RTM-5</t>
  </si>
  <si>
    <t>Badminton Set Family KAT</t>
  </si>
  <si>
    <t>520425-KOP-4</t>
  </si>
  <si>
    <t>Gartensäge KAT Astsäge 31cm</t>
  </si>
  <si>
    <t>520432-KOP-4</t>
  </si>
  <si>
    <t>Gartensäge KAT Astsäge 20cm klappbar</t>
  </si>
  <si>
    <t>525271-RTM-5</t>
  </si>
  <si>
    <t>Bambus Bad Kleinmöbel FSC Good, 2 fach sort.</t>
  </si>
  <si>
    <t>500553-BCN-3</t>
  </si>
  <si>
    <t>Trekking-Stöcke teleskopierbar 2er KAT, 2 fach sort.</t>
  </si>
  <si>
    <t>500553-KOP-3</t>
  </si>
  <si>
    <t>500553-RTM-4</t>
  </si>
  <si>
    <t>528862-RTM-2</t>
  </si>
  <si>
    <t>Aufbewahrungsbox Design mit Deckel 32l KAT</t>
  </si>
  <si>
    <t>532064-RTM-2</t>
  </si>
  <si>
    <t>Aufbewahrungsbox Design mit Deckel 2er Set 5l OS only KAT</t>
  </si>
  <si>
    <t>532065-RTM-2</t>
  </si>
  <si>
    <t>Aufbewahrungsbox Design mit Deckel 11l 2er Set OS only KAT</t>
  </si>
  <si>
    <t>500553-KOP-4</t>
  </si>
  <si>
    <t>500553-RTM-5</t>
  </si>
  <si>
    <t>513957-KOP-2</t>
  </si>
  <si>
    <t>494264-RTM-4</t>
  </si>
  <si>
    <t>Beistelltisch San Diego 2er Industrial FSC Good</t>
  </si>
  <si>
    <t>516623-RTM-1</t>
  </si>
  <si>
    <t>Aufschnitt-Boxen 4er Set</t>
  </si>
  <si>
    <t>500553-BCN-4</t>
  </si>
  <si>
    <t>512396-RTM-5</t>
  </si>
  <si>
    <t>516623-RTM-4</t>
  </si>
  <si>
    <t>516549-RTM-1</t>
  </si>
  <si>
    <t>Perlensortiment KAT, 2 fach sort.</t>
  </si>
  <si>
    <t>516549-BCN-1</t>
  </si>
  <si>
    <t>518949-RTM-3</t>
  </si>
  <si>
    <t>Vorratsdosen mit Klickverschluss und Schüttklappe PP-R Pastell 8er Set</t>
  </si>
  <si>
    <t>30/26</t>
  </si>
  <si>
    <t>516549-KOP-1</t>
  </si>
  <si>
    <t>540509-BCN-1</t>
  </si>
  <si>
    <t>Thekendisplay Tiny Friends Flauschige Mini Notizbücher,  6 fach sort.</t>
  </si>
  <si>
    <t>517522-RTM-1</t>
  </si>
  <si>
    <t>H Sicherheitsschuh S3 LDR/PES KAT</t>
  </si>
  <si>
    <t>BEVAFORM</t>
  </si>
  <si>
    <t>INMUN</t>
  </si>
  <si>
    <t>515607-RTM-1</t>
  </si>
  <si>
    <t>H Badepantolette Plateau EVA VA</t>
  </si>
  <si>
    <t>515607-KOP-1</t>
  </si>
  <si>
    <t>515608-RTM-1</t>
  </si>
  <si>
    <t>D Badepantolette Plateau EVA VA</t>
  </si>
  <si>
    <t>515608-KOP-1</t>
  </si>
  <si>
    <t>519692-KOP-1</t>
  </si>
  <si>
    <t>H Sicherheitsschuh S3 30 Jahre PES Best</t>
  </si>
  <si>
    <t>519692-RTM-1</t>
  </si>
  <si>
    <t>515668-RTM-1</t>
  </si>
  <si>
    <t>H Sicherheitsschuh S1 LDR</t>
  </si>
  <si>
    <t>515668-RTM-2</t>
  </si>
  <si>
    <t>515668-KOP-1</t>
  </si>
  <si>
    <t>515668-KOP-2</t>
  </si>
  <si>
    <t>540521-RTM-1</t>
  </si>
  <si>
    <t>D Trekkingstiefel GRS KAT</t>
  </si>
  <si>
    <t>540521-KOP-1</t>
  </si>
  <si>
    <t>540521-RTM-2</t>
  </si>
  <si>
    <t>540521-KOP-2</t>
  </si>
  <si>
    <t>540521-BCN-2</t>
  </si>
  <si>
    <t>540521-BCN-1</t>
  </si>
  <si>
    <t>540521-KOP-3</t>
  </si>
  <si>
    <t>540522-RTM-1</t>
  </si>
  <si>
    <t>H Trekkingstiefel GRS KAT</t>
  </si>
  <si>
    <t>540522-KOP-1</t>
  </si>
  <si>
    <t>540522-RTM-2</t>
  </si>
  <si>
    <t>540522-KOP-2</t>
  </si>
  <si>
    <t>540522-BCN-1</t>
  </si>
  <si>
    <t>540522-KOP-3</t>
  </si>
  <si>
    <t>518805-BCN-1</t>
  </si>
  <si>
    <t>H Laufschuh GRS Mesh PES BEST KAT</t>
  </si>
  <si>
    <t>518807-BCN-1</t>
  </si>
  <si>
    <t>D Laufschuh GRS Mesh PES BEST KAT</t>
  </si>
  <si>
    <t>516018-RTM-1</t>
  </si>
  <si>
    <t>D Regenstiefelette Chelsea NR</t>
  </si>
  <si>
    <t>516018-RTM-2</t>
  </si>
  <si>
    <t>516018-KOP-1</t>
  </si>
  <si>
    <t>507704-BCN-4</t>
  </si>
  <si>
    <t>H Laufschuh PES GRS KAT</t>
  </si>
  <si>
    <t>507704-KOP-5</t>
  </si>
  <si>
    <t>507705-BCN-4</t>
  </si>
  <si>
    <t>D Laufschuh PES GRS KAT</t>
  </si>
  <si>
    <t>507705-KOP-5</t>
  </si>
  <si>
    <t>507662-RTM-3</t>
  </si>
  <si>
    <t>Metalframe Pool 300 x 76 inkl. Filterpumpe</t>
  </si>
  <si>
    <t xml:space="preserve">Delta Sport </t>
  </si>
  <si>
    <t>500552-RTM-9</t>
  </si>
  <si>
    <t>515509-RTM-2</t>
  </si>
  <si>
    <t>Regal 3 Böden MDF weiß FSC</t>
  </si>
  <si>
    <t>515862-RTM-4</t>
  </si>
  <si>
    <t>540509-KOP-1</t>
  </si>
  <si>
    <t>540509-RTM-1</t>
  </si>
  <si>
    <t>525144-RTM-2</t>
  </si>
  <si>
    <t>Doppelseitiger-Organizer KAT</t>
  </si>
  <si>
    <t>29/26</t>
  </si>
  <si>
    <t>532224-KOP-1</t>
  </si>
  <si>
    <t>H Jacke Strickfleece GRS PES 2fach sort.</t>
  </si>
  <si>
    <t>JURITEX</t>
  </si>
  <si>
    <t>532224-RTM-1</t>
  </si>
  <si>
    <t>532224-RTM-2</t>
  </si>
  <si>
    <t>515403-KOP-1</t>
  </si>
  <si>
    <t>Spannbettlaken Bi-Elastic Jersey Boxspring 140-160x200x10cm CO Best VA 3fach sort.</t>
  </si>
  <si>
    <t>Lomotex</t>
  </si>
  <si>
    <t>LOMOTEX / OWIM</t>
  </si>
  <si>
    <t>515400-KOP-1</t>
  </si>
  <si>
    <t>Spannbettlaken Bi-Elastic Jersey Boxspring 180-200x200x10cm CO Best VA 3fach sort.</t>
  </si>
  <si>
    <t>515770-RTM-1</t>
  </si>
  <si>
    <t>Baby Activity Center KAT, 2 fach sort.</t>
  </si>
  <si>
    <t>515771-RTM-1</t>
  </si>
  <si>
    <t>Baby Plüsch Spielzeug KAT, 5 fach sort.</t>
  </si>
  <si>
    <t>500528-RTM-6</t>
  </si>
  <si>
    <t>Magnetbox Alphabet, Zahlen, Motive FSC Mix KAT</t>
  </si>
  <si>
    <t>500528-KOP-4</t>
  </si>
  <si>
    <t>517374-RTM-1</t>
  </si>
  <si>
    <t>Einkaufstrolley faltbar KAT</t>
  </si>
  <si>
    <t>TARGA</t>
  </si>
  <si>
    <t>515465-KOP-3</t>
  </si>
  <si>
    <t>Schreibtisch Schüler höhenverstellbar FSC KAT</t>
  </si>
  <si>
    <t>514140-KOP-1</t>
  </si>
  <si>
    <t>Hocker mit Staufach FSC, 2 fach sort.</t>
  </si>
  <si>
    <t>515511-KOP-2</t>
  </si>
  <si>
    <t>Garderobenständer Metall, 2 fach sort.</t>
  </si>
  <si>
    <t>544948-RTM-3</t>
  </si>
  <si>
    <t>Handtuchhalter Regal Bambus</t>
  </si>
  <si>
    <t>515465-RTM-2</t>
  </si>
  <si>
    <t>495955-RTM-4</t>
  </si>
  <si>
    <t>Gartensack 275l / 125l Set 2tlg. 150g/m² GRS KAT, 2 fach sort.</t>
  </si>
  <si>
    <t>520365-KOP-4</t>
  </si>
  <si>
    <t>Gartensack 275l / 125l Set 2tlg. 150g/m² GRS KAT rund faltbar 275 l</t>
  </si>
  <si>
    <t>520374-KOP-4</t>
  </si>
  <si>
    <t>Gartensack 275l / 125l Set 2tlg. 150g/m² GRS KAT rund faltbar 125l Set 2tlg</t>
  </si>
  <si>
    <t>525154-KOP-4</t>
  </si>
  <si>
    <t>Abdeckplane 2x3m Set 2tlg. / 3x4m 100g/m² GRS KAT. 2 fach sort.</t>
  </si>
  <si>
    <t>525154-RTM-6</t>
  </si>
  <si>
    <t>525154-KOP-6</t>
  </si>
  <si>
    <t>525154-RTM-7</t>
  </si>
  <si>
    <t>495957-KOP-5</t>
  </si>
  <si>
    <t>493738-RTM-3</t>
  </si>
  <si>
    <t>Go Kart</t>
  </si>
  <si>
    <t>525154-RTM-9</t>
  </si>
  <si>
    <t>525154-RTM-10</t>
  </si>
  <si>
    <t>483902-KOP-4</t>
  </si>
  <si>
    <t>Painting Case with Paints Premium FSC KAT</t>
  </si>
  <si>
    <t>487907-KOP-6</t>
  </si>
  <si>
    <t>Canvas FSC KAT</t>
  </si>
  <si>
    <t>VNHPH</t>
  </si>
  <si>
    <t>487907-ANR-3</t>
  </si>
  <si>
    <t>487907-KOP-5</t>
  </si>
  <si>
    <t>487907-RTM-5</t>
  </si>
  <si>
    <t>514889-KOP-1</t>
  </si>
  <si>
    <t>Pin and Peg Board KAT, 2 assorted.</t>
  </si>
  <si>
    <t>514890-KOP-1</t>
  </si>
  <si>
    <t>Canvases FSC Canvases, set of 4 (20 x 20 cm)</t>
  </si>
  <si>
    <t>Canvases FSC Canvases, set of 2 (40 x 40 cm)</t>
  </si>
  <si>
    <t>514891-KOP-1</t>
  </si>
  <si>
    <t>Canvases FSC Canvases, set of 1 (50 x 70 cm)</t>
  </si>
  <si>
    <t>517016-KOP-1</t>
  </si>
  <si>
    <t>Baby Girls Boys Set 2pcs (Sweat Pullover +Trousers) GOTS 2 pcs Pure Collection CO , 3 assorted.</t>
  </si>
  <si>
    <t>517016-RTM-1</t>
  </si>
  <si>
    <t>519895-KOP-3</t>
  </si>
  <si>
    <t>Painting case 82 pcs. KAT</t>
  </si>
  <si>
    <t>519895-RTM-3</t>
  </si>
  <si>
    <t>540463-ANR-1</t>
  </si>
  <si>
    <t>Twinmarker Dual-tip Fineliner and Brushliner XXL Set of 48 KAT</t>
  </si>
  <si>
    <t>540463-KOP-1</t>
  </si>
  <si>
    <t>540463-RTM-1</t>
  </si>
  <si>
    <t>486232-ANR-3</t>
  </si>
  <si>
    <t>Special drill set PSB 6 A1 KAT, 6 assorted</t>
  </si>
  <si>
    <t>486232-KOP-11</t>
  </si>
  <si>
    <t>486232-RTM-8</t>
  </si>
  <si>
    <t>487754-KOP-9</t>
  </si>
  <si>
    <t>12V cordless drill starter set PBSPA 12 E4 (with battery and charger) Best KAT</t>
  </si>
  <si>
    <t>487754-RTM-8</t>
  </si>
  <si>
    <t>487754-ANR-3</t>
  </si>
  <si>
    <t>487754-KOP-10</t>
  </si>
  <si>
    <t>487754-KOP-7</t>
  </si>
  <si>
    <t>487754-KOP-8</t>
  </si>
  <si>
    <t>487754-RTM-10</t>
  </si>
  <si>
    <t>494215-ANR-2</t>
  </si>
  <si>
    <t>20V Cordless chainsaw PAKS F5 (without battery and charger) KAT</t>
  </si>
  <si>
    <t>494215-KOP-7</t>
  </si>
  <si>
    <t>494215-RTM-4</t>
  </si>
  <si>
    <t>494215-KOP-8</t>
  </si>
  <si>
    <t>494215-RTM-5</t>
  </si>
  <si>
    <t>494817-KOP-4</t>
  </si>
  <si>
    <t>Pendulum action jigsaw 350W PSTD 350 B1 Good KAT</t>
  </si>
  <si>
    <t>494817-RTM-4</t>
  </si>
  <si>
    <t>495140-KOP-3</t>
  </si>
  <si>
    <t>Laser distance meter 50 meters PLEM 50 D5 KAT</t>
  </si>
  <si>
    <t>495140-RTM-3</t>
  </si>
  <si>
    <t>496229-RTM-5</t>
  </si>
  <si>
    <t>PBH 1050 D4 KAT rotary hammer and chisel hammer</t>
  </si>
  <si>
    <t>496229-KOP-5</t>
  </si>
  <si>
    <t>496229-RTM-4</t>
  </si>
  <si>
    <t>496229-KOP-4</t>
  </si>
  <si>
    <t>496278-KOP-4</t>
  </si>
  <si>
    <t>Bit extension / Square adapter / Drywall bits / Depth stop set KAT, 5 assorted.</t>
  </si>
  <si>
    <t>496278-RTM-3</t>
  </si>
  <si>
    <t>496278-KOP-3</t>
  </si>
  <si>
    <t>514450-KOP-1</t>
  </si>
  <si>
    <t>12V cordless drill driver PBSPA 12 E4 (without battery and charger) Best</t>
  </si>
  <si>
    <t>514450-KOP-2</t>
  </si>
  <si>
    <t>514450-RTM-1</t>
  </si>
  <si>
    <t>515640-RTM-2</t>
  </si>
  <si>
    <t>20V battery wall mount KAT, 4 assorted.</t>
  </si>
  <si>
    <t>515640-KOP-2</t>
  </si>
  <si>
    <t>515640-RTM-1</t>
  </si>
  <si>
    <t>515640-KOP-1</t>
  </si>
  <si>
    <t>515671-KOP-2</t>
  </si>
  <si>
    <t>Angled bit holder / Impact drill set, 2 assorted.</t>
  </si>
  <si>
    <t>515671-KOP-1</t>
  </si>
  <si>
    <t>515671-RTM-1</t>
  </si>
  <si>
    <t>515872-KOP-1</t>
  </si>
  <si>
    <t>Drill accessories woodworking, 4 assorted.</t>
  </si>
  <si>
    <t>515872-RTM-1</t>
  </si>
  <si>
    <t>516653-KOP-2</t>
  </si>
  <si>
    <t>Contactless voltage tester PKSS A2 Network cable tester PNKT A1 GRS , 2 assorted.</t>
  </si>
  <si>
    <t>516653-RTM-2</t>
  </si>
  <si>
    <t>516653-ANR-1</t>
  </si>
  <si>
    <t>516653-KOP-1</t>
  </si>
  <si>
    <t>516653-RTM-1</t>
  </si>
  <si>
    <t>517291-KOP-4</t>
  </si>
  <si>
    <t>Multifunctional table 3pcs. KAT</t>
  </si>
  <si>
    <t>517291-RTM-2</t>
  </si>
  <si>
    <t>517291-ANR-1</t>
  </si>
  <si>
    <t>517291-KOP-3</t>
  </si>
  <si>
    <t>517291-RTM-1</t>
  </si>
  <si>
    <t>517291-KOP-1</t>
  </si>
  <si>
    <t>517291-KOP-2</t>
  </si>
  <si>
    <t>518478-KOP-4</t>
  </si>
  <si>
    <t>Painter set 7pcs. / Telescopic stick with paint roller 3-unit / Painter set 10pcs. / Vacuum brush and roller storage, 3 assorted.</t>
  </si>
  <si>
    <t>518478-KOP-3</t>
  </si>
  <si>
    <t>518478-RTM-1</t>
  </si>
  <si>
    <t>518478-RTM-3</t>
  </si>
  <si>
    <t>518478-ANR-1</t>
  </si>
  <si>
    <t>518478-KOP-2</t>
  </si>
  <si>
    <t>518478-RTM-2</t>
  </si>
  <si>
    <t>518478-KOP-1</t>
  </si>
  <si>
    <t>525250-ANR-1</t>
  </si>
  <si>
    <t>Router POF 1200 F5 KAT</t>
  </si>
  <si>
    <t>525250-KOP-4</t>
  </si>
  <si>
    <t>525250-RTM-4</t>
  </si>
  <si>
    <t>525254-KOP-2</t>
  </si>
  <si>
    <t>Compressor Silent PSKO 248 B1 Good KAT</t>
  </si>
  <si>
    <t>525254-KOP-3</t>
  </si>
  <si>
    <t>525254-KOP-4</t>
  </si>
  <si>
    <t>525254-RTM-4</t>
  </si>
  <si>
    <t>528628-KOP-2</t>
  </si>
  <si>
    <t>Bit extension / Square adapter / Drywall bits / Depth stop set KAT Bit extension PBV 4 A1</t>
  </si>
  <si>
    <t>528630-KOP-2</t>
  </si>
  <si>
    <t>Bit extension / Square adapter / Drywall bits / Depth stop set KAT square adapter 3pcs. PVA 4 A1</t>
  </si>
  <si>
    <t>528632-KOP-2</t>
  </si>
  <si>
    <t>Bit extension / Square adapter / Drywall bits / Depth stop set KAT Drywall bits 25mm 6pcs. PTB 4 A1 25</t>
  </si>
  <si>
    <t>528634-KOP-2</t>
  </si>
  <si>
    <t>Bit extension / Square adapter / Drywall bits / Depth stop set KAT Drywall bits 50mm 5pcs. PTB 4 A1 50</t>
  </si>
  <si>
    <t>528636-KOP-2</t>
  </si>
  <si>
    <t>Bit extension / Square adapter / Drywall bits / Depth stop set KAT Depth stop set</t>
  </si>
  <si>
    <t>540711-RTM-5</t>
  </si>
  <si>
    <t>FIX10 20V Akku 4 Ah PAP 204 A1 KAT</t>
  </si>
  <si>
    <t>540711-RTM-18</t>
  </si>
  <si>
    <t>540711-KOP-4</t>
  </si>
  <si>
    <t>490511-RTM-7</t>
  </si>
  <si>
    <t>Ladies Men Sport Socks Short Shaft 3 pairs pack PES/PA/EL KAT, 2 assorted</t>
  </si>
  <si>
    <t>490511-KOP-5</t>
  </si>
  <si>
    <t>493803-ANR-2</t>
  </si>
  <si>
    <t>Ladies Socks OCS 7 pairs pack CO/PA/EL KAT, 2 assorted</t>
  </si>
  <si>
    <t>493814-ANR-2</t>
  </si>
  <si>
    <t>Men Socks OCS 7 pairs pack CO/PA/EL KAT, 2 assorted.</t>
  </si>
  <si>
    <t>493814-KOP-7</t>
  </si>
  <si>
    <t>495037-ANR-2</t>
  </si>
  <si>
    <t>Men Jeans Straight Fit CO/EL KAT, 2 assorted</t>
  </si>
  <si>
    <t>495037-KOP-2</t>
  </si>
  <si>
    <t>495037-KOP-3</t>
  </si>
  <si>
    <t>495037-RTM-2</t>
  </si>
  <si>
    <t>495037-RTM-3</t>
  </si>
  <si>
    <t>510963-KOP-1</t>
  </si>
  <si>
    <t>Ladies Socks Rib OCS 5 pairs pack CO/PA/EL, 2 assorted</t>
  </si>
  <si>
    <t>TRIST</t>
  </si>
  <si>
    <t>510963-RTM-1</t>
  </si>
  <si>
    <t>510968-RTM-1</t>
  </si>
  <si>
    <t>Men Socks OCS 5 pairs pack CO/PA/EL VA, 2 assorted.</t>
  </si>
  <si>
    <t>INTUT</t>
  </si>
  <si>
    <t>510968-KOP-1</t>
  </si>
  <si>
    <t>514014-KOP-2</t>
  </si>
  <si>
    <t>Ladies Ankle Boots PU/EL , 2 assorted.</t>
  </si>
  <si>
    <t>514014-RTM-1</t>
  </si>
  <si>
    <t>514014-KOP-1</t>
  </si>
  <si>
    <t>514225-ANR-1</t>
  </si>
  <si>
    <t>Ladies Long Sleeves Shirt GOTS CO/EL , 2 assorted.</t>
  </si>
  <si>
    <t>514225-KOP-1</t>
  </si>
  <si>
    <t>514225-RTM-1</t>
  </si>
  <si>
    <t>514340-KOP-1</t>
  </si>
  <si>
    <t>Men Sneakers 90s PU , 2 assorted.</t>
  </si>
  <si>
    <t>514340-RTM-1</t>
  </si>
  <si>
    <t>514340-KOP-2</t>
  </si>
  <si>
    <t>514347-KOP-2</t>
  </si>
  <si>
    <t>Men Slippers PES , 2 assorted.</t>
  </si>
  <si>
    <t>514347-RTM-1</t>
  </si>
  <si>
    <t>514347-KOP-1</t>
  </si>
  <si>
    <t>514849-KOP-1</t>
  </si>
  <si>
    <t>Men Working Socks 5 pairs pack CO/PES/EL, 2 assorted</t>
  </si>
  <si>
    <t>514849-RTM-2</t>
  </si>
  <si>
    <t>514849-ANR-1</t>
  </si>
  <si>
    <t>514849-RTM-1</t>
  </si>
  <si>
    <t>514849-KOP-2</t>
  </si>
  <si>
    <t>515380-ANR-1</t>
  </si>
  <si>
    <t>Small Kids Girls Boys Socks OCS 7 pairs pack CO/PA/EL, 2 assorted</t>
  </si>
  <si>
    <t>515380-RTM-1</t>
  </si>
  <si>
    <t>515380-KOP-1</t>
  </si>
  <si>
    <t>516084-KOP-1</t>
  </si>
  <si>
    <t>Ladies Bomber Jacket GRS PES, 2 assorted.</t>
  </si>
  <si>
    <t>516084-RTM-1</t>
  </si>
  <si>
    <t>516189-KOP-1</t>
  </si>
  <si>
    <t>Ladies Knitted Dress RCS CV/PES/EL , 3 assorted.</t>
  </si>
  <si>
    <t>516189-RTM-1</t>
  </si>
  <si>
    <t>514239-RTM-1</t>
  </si>
  <si>
    <t>H Hemd Flanell RCS CO PES</t>
  </si>
  <si>
    <t>TOPGRADE</t>
  </si>
  <si>
    <t>TOPGRADE / OWIM</t>
  </si>
  <si>
    <t xml:space="preserve">516086-RTM-2 </t>
  </si>
  <si>
    <t>D Hemd CO/PES</t>
  </si>
  <si>
    <t>516086-RTM-1</t>
  </si>
  <si>
    <t>522191-RTM-1</t>
  </si>
  <si>
    <t>D Strickkleid Jacquard GRS PES/PAN/PA/WO</t>
  </si>
  <si>
    <t xml:space="preserve"> 516856-RTM-1</t>
  </si>
  <si>
    <t>H Chino Web Slim Fit CO/EL VA</t>
  </si>
  <si>
    <t>516856-RTM 2</t>
  </si>
  <si>
    <t>516199-ANR-1</t>
  </si>
  <si>
    <t>Ladies Leggings Leather Look GRS PES/EL , 2 assorted.</t>
  </si>
  <si>
    <t>516199-KOP-1</t>
  </si>
  <si>
    <t>516199-KOP-2</t>
  </si>
  <si>
    <t>516199-RTM-1</t>
  </si>
  <si>
    <t>516202-KOP-1</t>
  </si>
  <si>
    <t>516202-RTM-1</t>
  </si>
  <si>
    <t>516218-KOP-1</t>
  </si>
  <si>
    <t>Ladies Socks OCS 5 pairs pack CO/PA/EL, 2 assorted</t>
  </si>
  <si>
    <t>516218-RTM-1</t>
  </si>
  <si>
    <t>518716-RTM-1</t>
  </si>
  <si>
    <t>Decorative assortment pumpkin set of 1, set of 2, mushroom polyresin autumn, 3 assorted.</t>
  </si>
  <si>
    <t>518716-KOP-1</t>
  </si>
  <si>
    <t>515138-KOP-1</t>
  </si>
  <si>
    <t>Adhesive hook set of 3</t>
  </si>
  <si>
    <t>515139-KOP-1</t>
  </si>
  <si>
    <t>Adhesive hooks set of 5 stainless steel/, set of 6 plastic/Suction hooks set of 3/S-shaped hooks set of 4 Adhesive hooks set of 5</t>
  </si>
  <si>
    <t>515140-KOP-1</t>
  </si>
  <si>
    <t>Adhesive hook set of 5 stainless steel/ set of 6 plastic/ suction hook set of 3/ hook S-shape set of 4 suction hook set of 3</t>
  </si>
  <si>
    <t>515141-KOP-1</t>
  </si>
  <si>
    <t>Adhesive hooks set of 5 stainless steel /, set of 6 plastic / Suction hooks set of 3 / S-shaped hooks set of 4 adhesive hooks set of 6</t>
  </si>
  <si>
    <t>515142-KOP-1</t>
  </si>
  <si>
    <t>Adhesive hooks set of 5 stainless steel/, set of 6 plastic/Suction hooks set of 3/S-shaped hooks set of 4, 4 assorted</t>
  </si>
  <si>
    <t>515142-RTM-1</t>
  </si>
  <si>
    <t>515143-KOP-1</t>
  </si>
  <si>
    <t>Adhesive hooks set of 5 stainless steel /, set of 6 plastic / Suction hooks set of 3 / S-shaped hooks set of 4 S-shaped hooks set of 4</t>
  </si>
  <si>
    <t>514440-KOP-1</t>
  </si>
  <si>
    <t>12V cordless rotary hammer PBHAP 12 B1 (without battery and charger) Best</t>
  </si>
  <si>
    <t>514440-KOP-2</t>
  </si>
  <si>
    <t>514440-RTM-1</t>
  </si>
  <si>
    <t>514444-KOP-1</t>
  </si>
  <si>
    <t>12V cordless impact drill (without battery and charger) PPSBSA 12 B1 Best</t>
  </si>
  <si>
    <t>514444-KOP-2</t>
  </si>
  <si>
    <t>514444-KOP-3</t>
  </si>
  <si>
    <t>514444-KOP-4</t>
  </si>
  <si>
    <t>514444-RTM-1</t>
  </si>
  <si>
    <t>516199-RTM-2</t>
  </si>
  <si>
    <t>541068-KOP-2</t>
  </si>
  <si>
    <t>Pizzaofen Elektrisch SPE 2400 A1</t>
  </si>
  <si>
    <t>32/26</t>
  </si>
  <si>
    <t>541068-RTM-3</t>
  </si>
  <si>
    <t>514445-KOP-1</t>
  </si>
  <si>
    <t>12V cordless multitool (without battery and charger) PPMFWA 12 B2 Best</t>
  </si>
  <si>
    <t>514445-KOP-2</t>
  </si>
  <si>
    <t>514445-RTM-1</t>
  </si>
  <si>
    <t>514446-KOP-1</t>
  </si>
  <si>
    <t>FIX10 12V Cordless angle grinder 76mm PPWSA 12 B1 (without battery and charger) Best KAT</t>
  </si>
  <si>
    <t>514446-KOP-2</t>
  </si>
  <si>
    <t>514446-RTM-1</t>
  </si>
  <si>
    <t>514447-KOP-1</t>
  </si>
  <si>
    <t>12V cordless drill driver starter set with 12V cordless impact wrench ¼ inch 170 Nm (with battery and charger) PBSPA 12 E4 / PDSSAP 12 B1 Best</t>
  </si>
  <si>
    <t>514447-KOP-2</t>
  </si>
  <si>
    <t>514447-RTM-1</t>
  </si>
  <si>
    <t>514447-RTM-2</t>
  </si>
  <si>
    <t>525414-KOP-2</t>
  </si>
  <si>
    <t>Hole saw set Best KAT</t>
  </si>
  <si>
    <t>525414-KOP-3</t>
  </si>
  <si>
    <t>525414-RTM-2</t>
  </si>
  <si>
    <t>529446-KOP-1</t>
  </si>
  <si>
    <t>12V Cordless orbital sander PAESP12-Li A2 / Cordless orbital sander PASSP 12-Li A2 (without battery and charger) Best orbital sander</t>
  </si>
  <si>
    <t>529447-KOP-1</t>
  </si>
  <si>
    <t>516478-KOP-1</t>
  </si>
  <si>
    <t>Ladies House Socks with Anti-slip Silicone Nubs 2 pairs pack CO/PA/EL, 2 assorted</t>
  </si>
  <si>
    <t>516478-RTM-1</t>
  </si>
  <si>
    <t>516478-RTM-2</t>
  </si>
  <si>
    <t>516608-ANR-1</t>
  </si>
  <si>
    <t>Ladies Cuddle Socks Popcorn 2 pairs pack PES/PA/EL, 2 assorted</t>
  </si>
  <si>
    <t>516608-KOP-1</t>
  </si>
  <si>
    <t>516608-KOP-2</t>
  </si>
  <si>
    <t>516608-RTM-1</t>
  </si>
  <si>
    <t>515060-ANR-1</t>
  </si>
  <si>
    <t>Bed linen CVC fine Flannelette normal size CO/PES Good VA , 4 assorted</t>
  </si>
  <si>
    <t>23/21</t>
  </si>
  <si>
    <t>PKBQM</t>
  </si>
  <si>
    <t>515060-KOP-1</t>
  </si>
  <si>
    <t>23/23</t>
  </si>
  <si>
    <t>515060-KOP-2</t>
  </si>
  <si>
    <t>23/24</t>
  </si>
  <si>
    <t>515060-RTM-1</t>
  </si>
  <si>
    <t>23/25</t>
  </si>
  <si>
    <t>515061-ANR-1</t>
  </si>
  <si>
    <t>Fitted Sheet CVC Fine Flannelette 90-100x200x27cm CO / PES Good VA, 3 assorted.</t>
  </si>
  <si>
    <t>23/22</t>
  </si>
  <si>
    <t>515061-KOP-1</t>
  </si>
  <si>
    <t>515061-KOP-2</t>
  </si>
  <si>
    <t>515061-RTM-1</t>
  </si>
  <si>
    <t>515062-ANR-1</t>
  </si>
  <si>
    <t>Fitted Sheet CVC Fine Flannelette 140-160x200x27cm CO / PES Good VA, 3 assorted.</t>
  </si>
  <si>
    <t>515062-KOP-1</t>
  </si>
  <si>
    <t>515062-KOP-2</t>
  </si>
  <si>
    <t>515062-RTM-1</t>
  </si>
  <si>
    <t>515063-ANR-1</t>
  </si>
  <si>
    <t>Pillowcase CVC fine Flannelette 
side sleeper pillow 40x145cm CO/PES Good VA , 4 assorted</t>
  </si>
  <si>
    <t>515063-RTM-1</t>
  </si>
  <si>
    <t>515064-ANR-1</t>
  </si>
  <si>
    <t>Fitted Sheet CVC Fine Flannelette 180-200x200x27cm CO / PES Good VA, 3 assorted.</t>
  </si>
  <si>
    <t>515064-KOP-1</t>
  </si>
  <si>
    <t>515064-KOP-2</t>
  </si>
  <si>
    <t>515064-RTM-1</t>
  </si>
  <si>
    <t>515065-ANR-1</t>
  </si>
  <si>
    <t>Bed Linen CVC Fine Flannelette Plus Size CO/PES Good VA, 4 assorted</t>
  </si>
  <si>
    <t>515065-KOP-1</t>
  </si>
  <si>
    <t>515065-KOP-2</t>
  </si>
  <si>
    <t>515065-RTM-1</t>
  </si>
  <si>
    <t>515071-ANR-1</t>
  </si>
  <si>
    <t>Bed Linen CVC Fine Flannelette King Size CO/PES Good VA, 4 assorted</t>
  </si>
  <si>
    <t>515071-KOP-1</t>
  </si>
  <si>
    <t>515071-RTM-1</t>
  </si>
  <si>
    <t>515072-ANR-1</t>
  </si>
  <si>
    <t>Pillowcase CVC Fine Flannelette Special Size 2 pcs pack Good CO / PES VA, 4 assorted</t>
  </si>
  <si>
    <t>515072-KOP-1</t>
  </si>
  <si>
    <t>515072-KOP-2</t>
  </si>
  <si>
    <t>515072-RTM-1</t>
  </si>
  <si>
    <t>525160-RTM-5</t>
  </si>
  <si>
    <t>Vacuum storage bag M/ L 10 pcs / Travel-Set incl. Pump S / M / L 10 pcs KAT</t>
  </si>
  <si>
    <t>525160-ANR-2</t>
  </si>
  <si>
    <t>525160-KOP-4</t>
  </si>
  <si>
    <t>525160-KOP-5</t>
  </si>
  <si>
    <t>497001-KOP-4</t>
  </si>
  <si>
    <t>Axle trestles set of 2 KAT</t>
  </si>
  <si>
    <t>20/24</t>
  </si>
  <si>
    <t>497001-KOP-5</t>
  </si>
  <si>
    <t>497001-RTM-3</t>
  </si>
  <si>
    <t>500555-KOP-1</t>
  </si>
  <si>
    <t>Stehleuchte 3flammig TEIWAZ KAT 2fach sort.</t>
  </si>
  <si>
    <t>500555-RTM-2</t>
  </si>
  <si>
    <t>500555-RTM-3</t>
  </si>
  <si>
    <t>500563-KOP-2</t>
  </si>
  <si>
    <t>Deckenspot / Wand-/Deckenschiene 3flammig TEIWAZ KAT 4fach sort.</t>
  </si>
  <si>
    <t>500563-RTM-2</t>
  </si>
  <si>
    <t>505245-KOP-4</t>
  </si>
  <si>
    <t>Small Kids Girls Boys Sweat Trousers RCS CO/PES KAT VA , 4 assorted.</t>
  </si>
  <si>
    <t>505245-KOP-5</t>
  </si>
  <si>
    <t>505245-RTM-3</t>
  </si>
  <si>
    <t>505245-RTM-4</t>
  </si>
  <si>
    <t>500086-RTM-2</t>
  </si>
  <si>
    <t>Accessories for multifunctional tool KAT, 6 assorted.</t>
  </si>
  <si>
    <t>510976-KOP-2</t>
  </si>
  <si>
    <t>Accessories for multifunction tool KAT HCS segment saw blade Z85</t>
  </si>
  <si>
    <t>510977-KOP-2</t>
  </si>
  <si>
    <t>Accessories for multifunction tool KAT HCS plunge-cut saw blade Z32</t>
  </si>
  <si>
    <t>510978-KOP-2</t>
  </si>
  <si>
    <t>Accessories for multifunction tool KAT HCS/HSS plunge-cut saw blade Z20 (20mm)</t>
  </si>
  <si>
    <t>510979-KOP-2</t>
  </si>
  <si>
    <t>Accessories for multifunction tool KAT Reef sanding plate Z79</t>
  </si>
  <si>
    <t>510980-KOP-2</t>
  </si>
  <si>
    <t>Accessories for multifunction tool KAT Triangular sandpaper Z92 C3 10 pcs.</t>
  </si>
  <si>
    <t>510981-KOP-2</t>
  </si>
  <si>
    <t>Accessories for multifunction tool KAT Joint segment blade Z64</t>
  </si>
  <si>
    <t>523316-KOP-1</t>
  </si>
  <si>
    <t>20V cordless multi-sander PAMSG 20-Li B1 / cordless eccentric sander PAEXSG 20-Li B1 (without battery and charger) Good, 2 assorted.</t>
  </si>
  <si>
    <t>523316-RTM-1</t>
  </si>
  <si>
    <t>523316-RTM-2</t>
  </si>
  <si>
    <t>525584-KOP-2</t>
  </si>
  <si>
    <t>Hand-held circular saw PHKS 750 A1 Good KAT</t>
  </si>
  <si>
    <t>525584-KOP-3</t>
  </si>
  <si>
    <t>525584-RTM-6</t>
  </si>
  <si>
    <t>546416-KOP-1</t>
  </si>
  <si>
    <t>FIX01 Laser rangefinder 20 m PLEM 20 B5 / Cross line laser with clamp PKLL 7 F6 Good KAT , 2 assorted.</t>
  </si>
  <si>
    <t>546416-RTM-1</t>
  </si>
  <si>
    <t>520792-KOP-8</t>
  </si>
  <si>
    <t>WC set plastic Good GRS KAT, 2 assorted.</t>
  </si>
  <si>
    <t>520792-KOP-9</t>
  </si>
  <si>
    <t>520792-RTM-6</t>
  </si>
  <si>
    <t>520792-RTM-7</t>
  </si>
  <si>
    <t>518745-ANR-2</t>
  </si>
  <si>
    <t>Induction hotplate - SIKP 2200 B1 KAT</t>
  </si>
  <si>
    <t>518745-KOP-3</t>
  </si>
  <si>
    <t>518745-KOP-4</t>
  </si>
  <si>
    <t>518745-KOP-5</t>
  </si>
  <si>
    <t>518745-RTM-4</t>
  </si>
  <si>
    <t>518745-RTM-5</t>
  </si>
  <si>
    <t>524947-KOP-1</t>
  </si>
  <si>
    <t>Microwave boxes with click closure PP-R set of 3 KAT</t>
  </si>
  <si>
    <t>524947-RTM-1</t>
  </si>
  <si>
    <t>524947-RTM-2</t>
  </si>
  <si>
    <t>525769-KOP-6</t>
  </si>
  <si>
    <t>Pan 32cm cast aluminum Thermospot KAT</t>
  </si>
  <si>
    <t>525769-KOP-7</t>
  </si>
  <si>
    <t>525769-RTM-4</t>
  </si>
  <si>
    <t>495820-KOP-5</t>
  </si>
  <si>
    <t>Dumbbell set 10kg KAT</t>
  </si>
  <si>
    <t>495820-KOP-6</t>
  </si>
  <si>
    <t>495820-RTM-8</t>
  </si>
  <si>
    <t>H Pullover Feinstrick CO 2 fach sort.</t>
  </si>
  <si>
    <t>Will be uploaded soon.</t>
  </si>
  <si>
    <t>SUM of TEU (can be shipped earlier &amp; immediatly)</t>
  </si>
  <si>
    <t>总计</t>
  </si>
  <si>
    <t>FOB week</t>
  </si>
  <si>
    <t>Set CRD</t>
  </si>
  <si>
    <t>521672-BCN-1</t>
  </si>
  <si>
    <t>KK M/J Schneejacke GRS PES VA 4fach sort.</t>
  </si>
  <si>
    <t>2026-06-22</t>
  </si>
  <si>
    <t>521672-KOP-1</t>
  </si>
  <si>
    <t>521672-RTM-4</t>
  </si>
  <si>
    <t>2026-07-20</t>
  </si>
  <si>
    <t>521672-RTM-1</t>
  </si>
  <si>
    <t>521672-RTM-2</t>
  </si>
  <si>
    <t>2026-06-29</t>
  </si>
  <si>
    <t>521687-BCN-1</t>
  </si>
  <si>
    <t>KK M J Schneehose GRS PES VA 4fach sort.</t>
  </si>
  <si>
    <t>521687-KOP-1</t>
  </si>
  <si>
    <t>521687-RTM-1</t>
  </si>
  <si>
    <t>521687-RTM-2</t>
  </si>
  <si>
    <t>521687-RTM-3</t>
  </si>
  <si>
    <t>522723-KOP-1</t>
  </si>
  <si>
    <t>K J Skijacke GRS PES 3fach sort.</t>
  </si>
  <si>
    <t>522723-KOP-2</t>
  </si>
  <si>
    <t>2026-07-13</t>
  </si>
  <si>
    <t>522723-KOP-3</t>
  </si>
  <si>
    <t>2026-07-06</t>
  </si>
  <si>
    <t>522723-RTM-1</t>
  </si>
  <si>
    <t>2026-06-15</t>
  </si>
  <si>
    <t>522723-RTM-2</t>
  </si>
  <si>
    <t>2026-07-27</t>
  </si>
  <si>
    <t>522723-RTM-3</t>
  </si>
  <si>
    <t>522725-KOP-1</t>
  </si>
  <si>
    <t>K J Skihose GRS PES 3fach sort.</t>
  </si>
  <si>
    <t>522725-KOP-2</t>
  </si>
  <si>
    <t>522725-KOP-3</t>
  </si>
  <si>
    <t>522725-RTM-1</t>
  </si>
  <si>
    <t>522725-RTM-2</t>
  </si>
  <si>
    <t>524790-BCN-1</t>
  </si>
  <si>
    <t>D Skihose GRS PES 3fach sort.</t>
  </si>
  <si>
    <t>524790-KOP-1</t>
  </si>
  <si>
    <t>524790-RTM-1</t>
  </si>
  <si>
    <t>524790-RTM-2</t>
  </si>
  <si>
    <t>524793-BCN-1</t>
  </si>
  <si>
    <t>D Skijacke GRS PES 3fach sort.</t>
  </si>
  <si>
    <t>524793-KOP-1</t>
  </si>
  <si>
    <t>524793-RTM-1</t>
  </si>
  <si>
    <t>524793-RTM-2</t>
  </si>
  <si>
    <t>524793-RTM-3</t>
  </si>
  <si>
    <t>524800-BCN-1</t>
  </si>
  <si>
    <t>H Skijacke GRS PES 3fach sort.</t>
  </si>
  <si>
    <t>524800-KOP-1</t>
  </si>
  <si>
    <t>524800-RTM-1</t>
  </si>
  <si>
    <t>524800-RTM-2</t>
  </si>
  <si>
    <t>524800-RTM-3</t>
  </si>
  <si>
    <t>524813-BCN-1</t>
  </si>
  <si>
    <t>H Skihose GRS PES 2fach sort.</t>
  </si>
  <si>
    <t>524813-KOP-1</t>
  </si>
  <si>
    <t>524813-RTM-1</t>
  </si>
  <si>
    <t>524813-RTM-2</t>
  </si>
  <si>
    <t>521693-KOP-1</t>
  </si>
  <si>
    <t>KK M/J Schneeoverall GRS</t>
  </si>
  <si>
    <t>521693-RTM-1</t>
  </si>
  <si>
    <t>521693-KOP-2</t>
  </si>
  <si>
    <t>521693-RTM-2</t>
  </si>
  <si>
    <t>522720-KOP-1</t>
  </si>
  <si>
    <t>K M Skijacke GRS</t>
  </si>
  <si>
    <t>522720-KOP-2</t>
  </si>
  <si>
    <t>522720-RTM-1</t>
  </si>
  <si>
    <t>522720-RTM-2</t>
  </si>
  <si>
    <t>522720-RTM-3</t>
  </si>
  <si>
    <t>522720-RTM-4</t>
  </si>
  <si>
    <t>K M Skihose GRS</t>
  </si>
  <si>
    <t>522724-KOP-1</t>
  </si>
  <si>
    <t>522724-KOP-2</t>
  </si>
  <si>
    <t>522724-RTM-1</t>
  </si>
  <si>
    <t>522724-RTM-2</t>
  </si>
  <si>
    <t>522724-RTM-3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</si>
</sst>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11"/>
      <color theme="1"/>
      <name val="Sans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55.429042708332" refreshedVersion="8" recordCount="574" xr:uid="{00000000-000A-0000-FFFF-FFFF00000000}">
  <cacheSource type="worksheet">
    <worksheetSource ref="A1:L575" sheet="Overview_early shipment"/>
  </cacheSource>
  <cacheFields count="12">
    <cacheField name="IAN" numFmtId="0">
      <sharedItems/>
    </cacheField>
    <cacheField name="Lot (if avaible)" numFmtId="0">
      <sharedItems/>
    </cacheField>
    <cacheField name="Batch" numFmtId="0">
      <sharedItems containsSemiMixedTypes="0" containsString="0" containsNumber="1" containsInteger="1" minValue="2407" maxValue="2601"/>
    </cacheField>
    <cacheField name="Article description" numFmtId="0">
      <sharedItems/>
    </cacheField>
    <cacheField name="TEU (can be shipped earlier &amp; immediatly)" numFmtId="0">
      <sharedItems containsSemiMixedTypes="0" containsString="0" containsNumber="1" minValue="0.02" maxValue="60"/>
    </cacheField>
    <cacheField name="Official FOB week" numFmtId="0">
      <sharedItems/>
    </cacheField>
    <cacheField name="Possible CRD" numFmtId="0">
      <sharedItems/>
    </cacheField>
    <cacheField name="Supplier" numFmtId="0">
      <sharedItems/>
    </cacheField>
    <cacheField name="Official FOB week2" numFmtId="0">
      <sharedItems/>
    </cacheField>
    <cacheField name="Possible CRD2" numFmtId="0">
      <sharedItems/>
    </cacheField>
    <cacheField name="Differenz Wochen" numFmtId="0">
      <sharedItems containsSemiMixedTypes="0" containsString="0" containsNumber="1" containsInteger="1" minValue="0" maxValue="19" count="15">
        <n v="2"/>
        <n v="1"/>
        <n v="0"/>
        <n v="3"/>
        <n v="4"/>
        <n v="6"/>
        <n v="7"/>
        <n v="8"/>
        <n v="9"/>
        <n v="11"/>
        <n v="13"/>
        <n v="5"/>
        <n v="12"/>
        <n v="19"/>
        <n v="10"/>
      </sharedItems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s v="508826"/>
    <s v="508826-KOP-2"/>
    <n v="2507"/>
    <s v="Haartrockner AC Profi CHAC 2400 C3 Best KAT Haartrockner schwarz"/>
    <n v="1"/>
    <s v="15/26"/>
    <s v="13/26"/>
    <s v="LKASIA"/>
    <s v="15"/>
    <s v="13"/>
    <x v="0"/>
    <m/>
  </r>
  <r>
    <s v="494644"/>
    <s v="494644-RTM-3"/>
    <n v="2504"/>
    <s v="Schärfstation PSS 65 D1 Good"/>
    <n v="2"/>
    <s v="15/26"/>
    <s v="14/26"/>
    <s v="LKASIA"/>
    <s v="15"/>
    <s v="14"/>
    <x v="1"/>
    <m/>
  </r>
  <r>
    <s v="520545"/>
    <s v="520545-BCN-2"/>
    <n v="2510"/>
    <s v="Fußsprudelbad SFB 80 A3 KAT"/>
    <n v="4"/>
    <s v="15/26"/>
    <s v="15/26"/>
    <s v="LKASIA"/>
    <s v="15"/>
    <s v="15"/>
    <x v="2"/>
    <m/>
  </r>
  <r>
    <s v="520545"/>
    <s v="520545-KOP-3"/>
    <n v="2510"/>
    <s v="Fußsprudelbad SFB 80 A3 KAT"/>
    <n v="8"/>
    <s v="15/26"/>
    <s v="15/26"/>
    <s v="LKASIA"/>
    <s v="15"/>
    <s v="15"/>
    <x v="2"/>
    <m/>
  </r>
  <r>
    <s v="520545"/>
    <s v="520545-RTM-6"/>
    <n v="2510"/>
    <s v="Fußsprudelbad SFB 80 A3 KAT"/>
    <n v="18"/>
    <s v="15/26"/>
    <s v="15/26"/>
    <s v="LKASIA"/>
    <s v="15"/>
    <s v="15"/>
    <x v="2"/>
    <m/>
  </r>
  <r>
    <s v="520545"/>
    <s v="520545-RTM-7"/>
    <n v="2510"/>
    <s v="Fußsprudelbad SFB 80 A3 KAT"/>
    <n v="2"/>
    <s v="15/26"/>
    <s v="15/26"/>
    <s v="LKASIA"/>
    <s v="15"/>
    <s v="15"/>
    <x v="2"/>
    <m/>
  </r>
  <r>
    <s v="539652"/>
    <s v="539652-BCN-1"/>
    <n v="2510"/>
    <s v="Plüsch Paw Patrol 30 cm Lizenz"/>
    <n v="6"/>
    <s v="16/26"/>
    <s v="14/26"/>
    <s v="LKASIA"/>
    <s v="16"/>
    <s v="14"/>
    <x v="0"/>
    <m/>
  </r>
  <r>
    <s v="539652"/>
    <s v="539652-KOP-4"/>
    <n v="2510"/>
    <s v="Plüsch Paw Patrol 30 cm Lizenz"/>
    <n v="11"/>
    <s v="15/26"/>
    <s v="15/26"/>
    <s v="LKASIA"/>
    <s v="15"/>
    <s v="15"/>
    <x v="2"/>
    <m/>
  </r>
  <r>
    <s v="539652"/>
    <s v="539652-RTM-1"/>
    <n v="2510"/>
    <s v="Plüsch Paw Patrol 30 cm Lizenz"/>
    <n v="17"/>
    <s v="15/26"/>
    <s v="14/26"/>
    <s v="LKASIA"/>
    <s v="15"/>
    <s v="14"/>
    <x v="1"/>
    <m/>
  </r>
  <r>
    <s v="486031"/>
    <s v="486031-RTM-7"/>
    <n v="2510"/>
    <s v="Holz Küche mit Licht, Sound und Dampfenden Topf FSC KAT"/>
    <n v="34"/>
    <s v="16/25"/>
    <s v="15/26"/>
    <s v="LKASIA"/>
    <s v="16"/>
    <s v="15"/>
    <x v="1"/>
    <m/>
  </r>
  <r>
    <s v="486031"/>
    <s v="486031-RTM-8"/>
    <n v="2510"/>
    <s v="Holz Küche mit Licht, Sound und Dampfenden Topf FSC KAT"/>
    <n v="2"/>
    <s v="16/26"/>
    <s v="15/26"/>
    <s v="LKASIA"/>
    <s v="16"/>
    <s v="15"/>
    <x v="1"/>
    <m/>
  </r>
  <r>
    <s v="486033"/>
    <s v="486033-RTM-8"/>
    <n v="2510"/>
    <s v="Holz Lebensmittel FSC KAT"/>
    <n v="3"/>
    <s v="16/26"/>
    <s v="15/26"/>
    <s v="LKASIA"/>
    <s v="16"/>
    <s v="15"/>
    <x v="1"/>
    <m/>
  </r>
  <r>
    <s v="547366"/>
    <s v="547366-NOR-1"/>
    <n v="2510"/>
    <s v="Spielzelt Paw Patrol Lizenz USA"/>
    <n v="1"/>
    <s v="16/26"/>
    <s v="15/26"/>
    <s v="LKASIA"/>
    <s v="16"/>
    <s v="15"/>
    <x v="1"/>
    <m/>
  </r>
  <r>
    <s v="547367"/>
    <s v="547367-NOR-1"/>
    <n v="2510"/>
    <s v="Plüsch Paw Patrol 30 cm Lizenz USA"/>
    <n v="2"/>
    <s v="16/26"/>
    <s v="14/26"/>
    <s v="LKASIA"/>
    <s v="16"/>
    <s v="14"/>
    <x v="0"/>
    <m/>
  </r>
  <r>
    <s v="515342"/>
    <s v="515342-ANR-1"/>
    <n v="2510"/>
    <s v="H Slip 10er CO/EL"/>
    <n v="11"/>
    <s v="16/26"/>
    <s v="15/26"/>
    <s v="LKASIA"/>
    <s v="16"/>
    <s v="15"/>
    <x v="1"/>
    <m/>
  </r>
  <r>
    <s v="515342"/>
    <s v="515342-RTM-1"/>
    <n v="2510"/>
    <s v="H Slip 10er CO/EL"/>
    <n v="2"/>
    <s v="16/26"/>
    <s v="15/26"/>
    <s v="LKASIA"/>
    <s v="16"/>
    <s v="15"/>
    <x v="1"/>
    <m/>
  </r>
  <r>
    <s v="502294"/>
    <s v="502294-RTM-6"/>
    <n v="2504"/>
    <s v="Säbelsäge 30mm PPFS 1200 A1 Best"/>
    <n v="2"/>
    <s v="16/26"/>
    <s v="14/26"/>
    <s v="LKASIA"/>
    <s v="16"/>
    <s v="14"/>
    <x v="0"/>
    <m/>
  </r>
  <r>
    <s v="500524"/>
    <s v="500524-BCN-2"/>
    <n v="2510"/>
    <s v="Memory-Foam Sattelbezug KAT"/>
    <n v="4"/>
    <s v="16/26"/>
    <s v="13/26"/>
    <s v="LKASIA"/>
    <s v="16"/>
    <s v="13"/>
    <x v="3"/>
    <m/>
  </r>
  <r>
    <s v="500524"/>
    <s v="500524-KOP-7"/>
    <n v="2510"/>
    <s v="Memory-Foam Sattelbezug KAT"/>
    <n v="3"/>
    <s v="16/26"/>
    <s v="13/26"/>
    <s v="LKASIA"/>
    <s v="16"/>
    <s v="13"/>
    <x v="3"/>
    <m/>
  </r>
  <r>
    <s v="500524"/>
    <s v="500524-RTM-6"/>
    <n v="2510"/>
    <s v="Memory-Foam Sattelbezug KAT"/>
    <n v="1"/>
    <s v="16/26"/>
    <s v="13/26"/>
    <s v="LKASIA"/>
    <s v="16"/>
    <s v="13"/>
    <x v="3"/>
    <m/>
  </r>
  <r>
    <s v="495524"/>
    <s v="495524-RTM-6"/>
    <n v="2504"/>
    <s v="20V Akku-Säbelsäge Starterset PSSAP 20 Li E5 (mit Akku und Ladegerät) Best"/>
    <n v="2"/>
    <s v="16/26"/>
    <s v="14/26"/>
    <s v="LKASIA"/>
    <s v="16"/>
    <s v="14"/>
    <x v="0"/>
    <m/>
  </r>
  <r>
    <s v="515327"/>
    <s v="515327-ANR-1"/>
    <n v="2510"/>
    <s v="H Boxer 10er XXL CO/EL"/>
    <n v="34"/>
    <s v="16/26"/>
    <s v="15/26"/>
    <s v="LKASIA"/>
    <s v="16"/>
    <s v="15"/>
    <x v="1"/>
    <m/>
  </r>
  <r>
    <s v="515327"/>
    <s v="515327-BCN-2"/>
    <n v="2510"/>
    <s v="H Boxer 10er XXL CO/EL"/>
    <n v="2"/>
    <s v="17/26"/>
    <s v="15/26"/>
    <s v="LKASIA"/>
    <s v="17"/>
    <s v="15"/>
    <x v="0"/>
    <m/>
  </r>
  <r>
    <s v="515327"/>
    <s v="515327-KOP-1"/>
    <n v="2510"/>
    <s v="H Boxer 10er XXL CO/EL"/>
    <n v="9"/>
    <s v="16/26"/>
    <s v="15/26"/>
    <s v="LKASIA"/>
    <s v="16"/>
    <s v="15"/>
    <x v="1"/>
    <m/>
  </r>
  <r>
    <s v="515327"/>
    <s v="515327-RTM-1"/>
    <n v="2510"/>
    <s v="H Boxer 10er XXL CO/EL"/>
    <n v="9"/>
    <s v="16/26"/>
    <s v="15/26"/>
    <s v="LKASIA"/>
    <s v="16"/>
    <s v="15"/>
    <x v="1"/>
    <m/>
  </r>
  <r>
    <s v="500526"/>
    <s v="500526-BCN-3"/>
    <n v="2507"/>
    <s v="Fahrrad Multifunktionstool / Untersatteltasche mit Werkzeug / Minipumpe mit Manometer KAT"/>
    <n v="2"/>
    <s v="17/26"/>
    <s v="15/26"/>
    <s v="LKASIA"/>
    <s v="17"/>
    <s v="15"/>
    <x v="0"/>
    <m/>
  </r>
  <r>
    <s v="500526"/>
    <s v="500526-KOP-5"/>
    <n v="2508"/>
    <s v="Fahrrad Multifunktionstool / Untersatteltasche mit Werkzeug / Minipumpe mit Manometer KAT"/>
    <n v="1"/>
    <s v="16/26"/>
    <s v="15/26"/>
    <s v="LKASIA"/>
    <s v="16"/>
    <s v="15"/>
    <x v="1"/>
    <m/>
  </r>
  <r>
    <s v="500526"/>
    <s v="500526-RTM-6"/>
    <n v="2509"/>
    <s v="Fahrrad Multifunktionstool / Untersatteltasche mit Werkzeug / Minipumpe mit Manometer KAT"/>
    <n v="1"/>
    <s v="17/26"/>
    <s v="15/26"/>
    <s v="LKASIA"/>
    <s v="17"/>
    <s v="15"/>
    <x v="0"/>
    <m/>
  </r>
  <r>
    <s v="500526"/>
    <s v="500526-RTM-7"/>
    <n v="2510"/>
    <s v="Fahrrad Multifunktionstool / Untersatteltasche mit Werkzeug / Minipumpe mit Manometer KAT"/>
    <n v="1"/>
    <s v="16/26"/>
    <s v="15/26"/>
    <s v="LKASIA"/>
    <s v="16"/>
    <s v="15"/>
    <x v="1"/>
    <m/>
  </r>
  <r>
    <s v="514780"/>
    <s v="514780-ANR-1"/>
    <n v="2510"/>
    <s v="Fahrradabdeckung KAT"/>
    <n v="7"/>
    <s v="17/26"/>
    <s v="15/26"/>
    <s v="LKASIA"/>
    <s v="17"/>
    <s v="15"/>
    <x v="0"/>
    <m/>
  </r>
  <r>
    <s v="514780"/>
    <s v="514780-BCN-1"/>
    <n v="2510"/>
    <s v="Fahrradabdeckung KAT"/>
    <n v="7"/>
    <s v="16/26"/>
    <s v="15/26"/>
    <s v="LKASIA"/>
    <s v="16"/>
    <s v="15"/>
    <x v="1"/>
    <m/>
  </r>
  <r>
    <s v="514780"/>
    <s v="514780-KOP-1"/>
    <n v="2510"/>
    <s v="Fahrradabdeckung KAT"/>
    <n v="8"/>
    <s v="16/26"/>
    <s v="15/26"/>
    <s v="LKASIA"/>
    <s v="16"/>
    <s v="15"/>
    <x v="1"/>
    <m/>
  </r>
  <r>
    <s v="514780"/>
    <s v="514780-RTM-1"/>
    <n v="2510"/>
    <s v="Fahrradabdeckung KAT"/>
    <n v="4"/>
    <s v="16/26"/>
    <s v="15/26"/>
    <s v="LKASIA"/>
    <s v="16"/>
    <s v="15"/>
    <x v="1"/>
    <m/>
  </r>
  <r>
    <s v="551163"/>
    <s v="551163-BCN-1"/>
    <n v="2510"/>
    <s v="Eckspannermappe, Sichtbuch, A3 und A4 PP"/>
    <n v="3"/>
    <s v="17/26"/>
    <s v="16/26"/>
    <s v="LKASIA"/>
    <s v="17"/>
    <s v="16"/>
    <x v="1"/>
    <m/>
  </r>
  <r>
    <s v="495857"/>
    <s v="495857-RTM-3"/>
    <n v="2503"/>
    <s v="20V Akku-Drehschlagschrauber 1/2 Starterset PASSP 20-Li C4 (mit Akku und Ladegerät) Best"/>
    <n v="9"/>
    <s v="18/26"/>
    <s v="14/26"/>
    <s v="LKASIA"/>
    <s v="18"/>
    <s v="14"/>
    <x v="4"/>
    <m/>
  </r>
  <r>
    <s v="495857"/>
    <s v="495857-KOP-7"/>
    <n v="2504"/>
    <s v="20V Akku-Drehschlagschrauber 1/2 Starterset PASSP 20-Li C4 (mit Akku und Ladegerät) Best"/>
    <n v="4"/>
    <s v="17/26"/>
    <s v="15/26"/>
    <s v="LKASIA"/>
    <s v="17"/>
    <s v="15"/>
    <x v="0"/>
    <m/>
  </r>
  <r>
    <s v="496459"/>
    <s v="496459-RTM-3"/>
    <n v="2504"/>
    <s v="HDR Aufsätze Sortiment"/>
    <n v="3"/>
    <s v="17/26"/>
    <s v="15/26"/>
    <s v="LKASIA"/>
    <s v="17"/>
    <s v="15"/>
    <x v="0"/>
    <m/>
  </r>
  <r>
    <s v="504703"/>
    <s v="504703-RTM-3"/>
    <n v="2504"/>
    <s v="Bohr- und Meißelhammer PPBH 1050 A1 Best"/>
    <n v="2"/>
    <s v="17/26"/>
    <s v="14/26"/>
    <s v="LKASIA"/>
    <s v="17"/>
    <s v="14"/>
    <x v="3"/>
    <m/>
  </r>
  <r>
    <s v="507533"/>
    <s v="507533-RTM-2"/>
    <n v="2507"/>
    <s v="Elektro-Regenfasspumpe PERP 4000 D3 Good"/>
    <n v="2"/>
    <s v="17/26"/>
    <s v="15/26"/>
    <s v="LKASIA"/>
    <s v="17"/>
    <s v="15"/>
    <x v="0"/>
    <m/>
  </r>
  <r>
    <s v="507537"/>
    <s v="507537-RTM-3"/>
    <n v="2507"/>
    <s v="Bewässerungscomputer GRS PBCG B2 Good"/>
    <n v="1"/>
    <s v="17/26"/>
    <s v="14/26"/>
    <s v="LKASIA"/>
    <s v="17"/>
    <s v="14"/>
    <x v="3"/>
    <m/>
  </r>
  <r>
    <s v="507542"/>
    <s v="507542-RTM-3"/>
    <n v="2507"/>
    <s v="Schlauchwagen Good"/>
    <n v="4"/>
    <s v="17/26"/>
    <s v="14/26"/>
    <s v="LKASIA"/>
    <s v="17"/>
    <s v="14"/>
    <x v="3"/>
    <m/>
  </r>
  <r>
    <s v="508081"/>
    <s v="508081-RTM-4"/>
    <n v="2507"/>
    <s v="20V Akku-Heckenschere PAHS 35 A1 Good (ohne Akku und Ladegerät)"/>
    <n v="6"/>
    <s v="17/26"/>
    <s v="14/26"/>
    <s v="LKASIA"/>
    <s v="17"/>
    <s v="14"/>
    <x v="3"/>
    <m/>
  </r>
  <r>
    <s v="507554"/>
    <s v="507554-RTM-2"/>
    <n v="2507"/>
    <s v="4V Akku-Drucksprüher 1l PADS 1 A1 Good (mit Akku ohne Ladegerät)"/>
    <n v="2"/>
    <s v="17/26"/>
    <s v="15/26"/>
    <s v="LKASIA"/>
    <s v="17"/>
    <s v="15"/>
    <x v="0"/>
    <m/>
  </r>
  <r>
    <s v="494802"/>
    <s v="494802-RTM-5"/>
    <n v="2504"/>
    <s v="4V Akku-Schrauber mit Tauschaufsätzen PAS 4 D7 (inkl. integriertem Akku und Ladekabel)"/>
    <n v="1"/>
    <s v="19/26"/>
    <s v="15/26"/>
    <s v="LKASIA"/>
    <s v="19"/>
    <s v="15"/>
    <x v="4"/>
    <m/>
  </r>
  <r>
    <s v="494815"/>
    <s v="494815-RTM-3"/>
    <n v="2504"/>
    <s v="Handkreissäge 1800W PPHKS 1800 A2 Best"/>
    <n v="4"/>
    <s v="19/26"/>
    <s v="15/26"/>
    <s v="LKASIA"/>
    <s v="19"/>
    <s v="15"/>
    <x v="4"/>
    <m/>
  </r>
  <r>
    <s v="516958"/>
    <s v="516958-BCN-2"/>
    <n v="2510"/>
    <s v="K J M Sneakersocken OCS 10er CO/PA/EL"/>
    <n v="2"/>
    <s v="20/25"/>
    <s v="16/26"/>
    <s v="LKASIA"/>
    <s v="20"/>
    <s v="16"/>
    <x v="4"/>
    <m/>
  </r>
  <r>
    <s v="516958"/>
    <s v="516958-KOP-3"/>
    <n v="2510"/>
    <s v="K J M Sneakersocken OCS 10er CO/PA/EL"/>
    <n v="1"/>
    <s v="20/26"/>
    <s v="16/26"/>
    <s v="LKASIA"/>
    <s v="20"/>
    <s v="16"/>
    <x v="4"/>
    <m/>
  </r>
  <r>
    <s v="506774"/>
    <s v="506774-RTM-2"/>
    <n v="2507"/>
    <s v="Strandstuhl faltbar mit Armlehnen Stahl/Polyester"/>
    <n v="2"/>
    <s v="20/26"/>
    <s v="14/26"/>
    <s v="LKASIA"/>
    <s v="20"/>
    <s v="14"/>
    <x v="5"/>
    <m/>
  </r>
  <r>
    <s v="514681"/>
    <s v="514681-BCN-1"/>
    <n v="2510"/>
    <s v="D H Sneakersocken 10er PES/EL Good"/>
    <n v="3"/>
    <s v="21/26"/>
    <s v="18/26"/>
    <s v="LKASIA"/>
    <s v="21"/>
    <s v="18"/>
    <x v="3"/>
    <m/>
  </r>
  <r>
    <s v="514681"/>
    <s v="514681-KOP-1"/>
    <n v="2510"/>
    <s v="D H Sneakersocken 10er PES/EL Good"/>
    <n v="2"/>
    <s v="21/26"/>
    <s v="18/26"/>
    <s v="LKASIA"/>
    <s v="21"/>
    <s v="18"/>
    <x v="3"/>
    <m/>
  </r>
  <r>
    <s v="528469"/>
    <s v="528469-ANR-1"/>
    <n v="2510"/>
    <s v="D Achselhemd 3er MFP CO/EL VA"/>
    <n v="6"/>
    <s v="21/26"/>
    <s v="17/26"/>
    <s v="LKASIA"/>
    <s v="21"/>
    <s v="17"/>
    <x v="4"/>
    <m/>
  </r>
  <r>
    <s v="508418"/>
    <s v="508418-ANR-2"/>
    <n v="2510"/>
    <s v="D Spaghettiträgerhemd 3er MFP CO/EL KAT VA"/>
    <n v="5"/>
    <s v="21/26"/>
    <s v="17/26"/>
    <s v="LKASIA"/>
    <s v="21"/>
    <s v="17"/>
    <x v="4"/>
    <m/>
  </r>
  <r>
    <s v="508418"/>
    <s v="508418-BCN-4"/>
    <n v="2510"/>
    <s v="D Spaghettiträgerhemd 3er MFP CO/EL KAT VA"/>
    <n v="1"/>
    <s v="21/26"/>
    <s v="17/26"/>
    <s v="LKASIA"/>
    <s v="21"/>
    <s v="17"/>
    <x v="4"/>
    <m/>
  </r>
  <r>
    <s v="508418"/>
    <s v="508418-KOP-4"/>
    <n v="2510"/>
    <s v="D Spaghettiträgerhemd 3er MFP CO/EL KAT VA"/>
    <n v="1"/>
    <s v="21/26"/>
    <s v="17/26"/>
    <s v="LKASIA"/>
    <s v="21"/>
    <s v="17"/>
    <x v="4"/>
    <m/>
  </r>
  <r>
    <s v="528500"/>
    <s v="528500-ANR-1"/>
    <n v="2510"/>
    <s v="D Hipster 5er MFP CO/EL VA"/>
    <n v="4"/>
    <s v="21/26"/>
    <s v="17/26"/>
    <s v="LKASIA"/>
    <s v="21"/>
    <s v="17"/>
    <x v="4"/>
    <m/>
  </r>
  <r>
    <s v="528500"/>
    <s v="528500-BCN-2"/>
    <n v="2510"/>
    <s v="D Hipster 5er MFP CO/EL VA"/>
    <n v="1"/>
    <s v="21/26"/>
    <s v="17/26"/>
    <s v="LKASIA"/>
    <s v="21"/>
    <s v="17"/>
    <x v="4"/>
    <m/>
  </r>
  <r>
    <s v="528500"/>
    <s v="528500-KOP-1"/>
    <n v="2510"/>
    <s v="D Hipster 5er MFP CO/EL VA"/>
    <n v="1"/>
    <s v="21/26"/>
    <s v="17/26"/>
    <s v="LKASIA"/>
    <s v="21"/>
    <s v="17"/>
    <x v="4"/>
    <m/>
  </r>
  <r>
    <s v="508402"/>
    <s v="508402-ANR-2"/>
    <n v="2510"/>
    <s v="D Slip 5er MFP CO/EL KAT VA"/>
    <n v="4"/>
    <s v="21/26"/>
    <s v="17/26"/>
    <s v="LKASIA"/>
    <s v="21"/>
    <s v="17"/>
    <x v="4"/>
    <m/>
  </r>
  <r>
    <s v="508402"/>
    <s v="508402-BCN-4"/>
    <n v="2510"/>
    <s v="D Slip 5er MFP CO/EL KAT VA"/>
    <n v="1"/>
    <s v="21/26"/>
    <s v="17/26"/>
    <s v="LKASIA"/>
    <s v="21"/>
    <s v="17"/>
    <x v="4"/>
    <m/>
  </r>
  <r>
    <s v="508402"/>
    <s v="508402-KOP-4"/>
    <n v="2510"/>
    <s v="D Slip 5er MFP CO/EL KAT VA"/>
    <n v="1"/>
    <s v="21/26"/>
    <s v="17/26"/>
    <s v="LKASIA"/>
    <s v="21"/>
    <s v="17"/>
    <x v="4"/>
    <m/>
  </r>
  <r>
    <s v="508402"/>
    <s v="508402-RTM-6"/>
    <n v="2510"/>
    <s v="D Slip 5er MFP CO/EL KAT VA"/>
    <n v="1"/>
    <s v="21/26"/>
    <s v="17/26"/>
    <s v="LKASIA"/>
    <s v="21"/>
    <s v="17"/>
    <x v="4"/>
    <m/>
  </r>
  <r>
    <s v="496286"/>
    <s v="496286-RTM-6"/>
    <n v="2504"/>
    <s v="20V Akku-Tacker PAT 20-Li A1 (ohne Akku und Ladegerät)"/>
    <n v="4"/>
    <s v="21/26"/>
    <s v="17/26"/>
    <s v="LKASIA"/>
    <s v="21"/>
    <s v="17"/>
    <x v="4"/>
    <m/>
  </r>
  <r>
    <s v="494210"/>
    <s v="494210-RTM-5"/>
    <n v="2504"/>
    <s v="12V / 20V Akku-Drucksprüher PDSA D3 (ohne Akku und Ladegerät)"/>
    <n v="4"/>
    <s v="21/26"/>
    <s v="14/26"/>
    <s v="LKASIA"/>
    <s v="21"/>
    <s v="14"/>
    <x v="6"/>
    <m/>
  </r>
  <r>
    <s v="515578"/>
    <s v="515578-BCN-1"/>
    <n v="2510"/>
    <s v="D H Sportsocken 3er PES/EL Good"/>
    <n v="2"/>
    <s v="23/26"/>
    <s v="16/26"/>
    <s v="LKASIA"/>
    <s v="23"/>
    <s v="16"/>
    <x v="6"/>
    <m/>
  </r>
  <r>
    <s v="515578"/>
    <s v="515578-KOP-1"/>
    <n v="2510"/>
    <s v="D H Sportsocken 3er PES/EL Good"/>
    <n v="2"/>
    <s v="21/26"/>
    <s v="14/26"/>
    <s v="LKASIA"/>
    <s v="21"/>
    <s v="14"/>
    <x v="6"/>
    <m/>
  </r>
  <r>
    <s v="515578"/>
    <s v="515578-RTM-1"/>
    <n v="2510"/>
    <s v="D H Sportsocken 3er PES/EL Good"/>
    <n v="2"/>
    <s v="21/26"/>
    <s v="14/26"/>
    <s v="LKASIA"/>
    <s v="21"/>
    <s v="14"/>
    <x v="6"/>
    <m/>
  </r>
  <r>
    <s v="494222"/>
    <s v="494222-RTM-4"/>
    <n v="2504"/>
    <s v="20V Akku-Universalstreuer PUSA B1 (ohne Akku und Ladegerät)"/>
    <n v="4"/>
    <s v="22/26"/>
    <s v="18/26"/>
    <s v="LKASIA"/>
    <s v="22"/>
    <s v="18"/>
    <x v="4"/>
    <m/>
  </r>
  <r>
    <s v="496192"/>
    <s v="496192-BCN-7"/>
    <n v="2510"/>
    <s v="Packband 3er transparent/braun KAT"/>
    <n v="4"/>
    <s v="22/26"/>
    <s v="18/26"/>
    <s v="LKASIA"/>
    <s v="22"/>
    <s v="18"/>
    <x v="4"/>
    <m/>
  </r>
  <r>
    <s v="496192"/>
    <s v="496192-KOP-8"/>
    <n v="2510"/>
    <s v="Packband 3er transparent/braun KAT"/>
    <n v="4"/>
    <s v="22/26"/>
    <s v="14/26"/>
    <s v="LKASIA"/>
    <s v="22"/>
    <s v="14"/>
    <x v="7"/>
    <m/>
  </r>
  <r>
    <s v="496461"/>
    <s v="496461-RTM-3"/>
    <n v="2504"/>
    <s v="Hochdruckreiniger PHDS 110 C3 Silent"/>
    <n v="2"/>
    <s v="22/26"/>
    <s v="18/26"/>
    <s v="LKASIA"/>
    <s v="22"/>
    <s v="18"/>
    <x v="4"/>
    <m/>
  </r>
  <r>
    <s v="513993"/>
    <s v="513993-BCN-1"/>
    <n v="2510"/>
    <s v="H Jeans Slim fit CO/EL Best"/>
    <n v="3"/>
    <s v="24/26"/>
    <s v="15/26"/>
    <s v="LKASIA"/>
    <s v="24"/>
    <s v="15"/>
    <x v="8"/>
    <m/>
  </r>
  <r>
    <s v="513993"/>
    <s v="513993-KOP-1"/>
    <n v="2510"/>
    <s v="H Jeans Slim fit CO/EL Best"/>
    <n v="5"/>
    <s v="22/26"/>
    <s v="15/26"/>
    <s v="LKASIA"/>
    <s v="22"/>
    <s v="15"/>
    <x v="6"/>
    <m/>
  </r>
  <r>
    <s v="508413"/>
    <s v="508413-BCN-4"/>
    <n v="2510"/>
    <s v="D Top Rippe mit Spitze 3er MFP CO/EL KAT"/>
    <n v="1"/>
    <s v="23/26"/>
    <s v="19/26"/>
    <s v="LKASIA"/>
    <s v="23"/>
    <s v="19"/>
    <x v="4"/>
    <m/>
  </r>
  <r>
    <s v="508413"/>
    <s v="508413-KOP-4"/>
    <n v="2510"/>
    <s v="D Top Rippe mit Spitze 3er MFP CO/EL KAT"/>
    <n v="1"/>
    <s v="17/26"/>
    <s v="13/26"/>
    <s v="LKASIA"/>
    <s v="17"/>
    <s v="13"/>
    <x v="4"/>
    <m/>
  </r>
  <r>
    <s v="508413"/>
    <s v="508413-RTM-5"/>
    <n v="2510"/>
    <s v="D Top Rippe mit Spitze 3er MFP CO/EL KAT"/>
    <n v="3"/>
    <s v="17/26"/>
    <s v="13/26"/>
    <s v="LKASIA"/>
    <s v="17"/>
    <s v="13"/>
    <x v="4"/>
    <m/>
  </r>
  <r>
    <s v="508413"/>
    <s v="508413-ANR-2"/>
    <n v="2510"/>
    <s v="D Top Rippe mit Spitze 3er MFP CO/EL KAT"/>
    <n v="7"/>
    <s v="17/26"/>
    <s v="13/26"/>
    <s v="LKASIA"/>
    <s v="17"/>
    <s v="13"/>
    <x v="4"/>
    <m/>
  </r>
  <r>
    <s v="508247"/>
    <s v="508247-RTM-2"/>
    <n v="2507"/>
    <s v="Universal Transporthilfen, FSC KAT"/>
    <n v="4"/>
    <s v="23/26"/>
    <s v="15/26"/>
    <s v="LKASIA"/>
    <s v="23"/>
    <s v="15"/>
    <x v="7"/>
    <m/>
  </r>
  <r>
    <s v="509738"/>
    <s v="509738-RTM-3"/>
    <n v="2507"/>
    <s v="Säbelsäge PFS 850 C3 KAT"/>
    <n v="5"/>
    <s v="23/26"/>
    <s v="19/26"/>
    <s v="LKASIA"/>
    <s v="23"/>
    <s v="19"/>
    <x v="4"/>
    <m/>
  </r>
  <r>
    <s v="509740"/>
    <s v="509740-RTM-5"/>
    <n v="2507"/>
    <s v="Werkzeugbox Metall mit 4V Akku Schrauber Set 92tlg. PWBM A1"/>
    <n v="4"/>
    <s v="23/26"/>
    <s v="19/26"/>
    <s v="LKASIA"/>
    <s v="23"/>
    <s v="19"/>
    <x v="4"/>
    <m/>
  </r>
  <r>
    <s v="509752"/>
    <s v="509752-RTM-5"/>
    <n v="2507"/>
    <s v="Schraubendrehersatz mit Wandhalterung 37 tlg."/>
    <n v="2"/>
    <s v="23/26"/>
    <s v="15/26"/>
    <s v="LKASIA"/>
    <s v="23"/>
    <s v="15"/>
    <x v="7"/>
    <m/>
  </r>
  <r>
    <s v="513269"/>
    <s v="513269-RTM-3"/>
    <n v="2507"/>
    <s v="Digitale Lötstation PLSD 60 C3"/>
    <n v="1"/>
    <s v="23/26"/>
    <s v="19/26"/>
    <s v="LKASIA"/>
    <s v="23"/>
    <s v="19"/>
    <x v="4"/>
    <m/>
  </r>
  <r>
    <s v="472140"/>
    <s v="472140-RTM-3"/>
    <n v="2407"/>
    <s v="Kunststoff-Schweißpistole PKSP 50 A1"/>
    <n v="2"/>
    <s v="24/26"/>
    <s v="24/26"/>
    <s v="LKASIA"/>
    <s v="24"/>
    <s v="24"/>
    <x v="2"/>
    <m/>
  </r>
  <r>
    <s v="472140"/>
    <s v="472140-ANR-3"/>
    <n v="2407"/>
    <s v="Kunststoff-Schweißpistole PKSP 50 A1"/>
    <n v="6"/>
    <s v="24/26"/>
    <s v="24/26"/>
    <s v="LKASIA"/>
    <s v="24"/>
    <s v="24"/>
    <x v="2"/>
    <m/>
  </r>
  <r>
    <s v="506379"/>
    <s v="506379-RTM-4"/>
    <n v="2507"/>
    <s v="Kompressor mit digitaler Anzeige tragbar 12V / 230V PMK 150 A1"/>
    <n v="3"/>
    <s v="24/26"/>
    <s v="20/26"/>
    <s v="LKASIA"/>
    <s v="24"/>
    <s v="20"/>
    <x v="4"/>
    <m/>
  </r>
  <r>
    <s v="506389"/>
    <s v="506389-RTM-5"/>
    <n v="2507"/>
    <s v="Kunststoff-Schweißpistole PKSP 50 B1"/>
    <n v="2"/>
    <s v="24/26"/>
    <s v="15/26"/>
    <s v="LKASIA"/>
    <s v="24"/>
    <s v="15"/>
    <x v="8"/>
    <m/>
  </r>
  <r>
    <s v="514435"/>
    <s v="514435-KOP-1"/>
    <n v="2510"/>
    <s v="FIX10 12V Akku 2,5 Ah Best KAT"/>
    <n v="1"/>
    <s v="24/26"/>
    <s v="13/26"/>
    <s v="LKASIA"/>
    <s v="24"/>
    <s v="13"/>
    <x v="9"/>
    <m/>
  </r>
  <r>
    <s v="514435"/>
    <s v="514435-RTM-1"/>
    <n v="2510"/>
    <s v="FIX10 12V Akku 2,5 Ah Best KAT"/>
    <n v="1"/>
    <s v="24/26"/>
    <s v="13/26"/>
    <s v="LKASIA"/>
    <s v="24"/>
    <s v="13"/>
    <x v="9"/>
    <m/>
  </r>
  <r>
    <s v="514435"/>
    <s v="514435-KOP-2"/>
    <n v="2510"/>
    <s v="FIX10 12V Akku 2,5 Ah Best KAT"/>
    <n v="1"/>
    <s v="24/26"/>
    <s v="13/26"/>
    <s v="LKASIA"/>
    <s v="24"/>
    <s v="13"/>
    <x v="9"/>
    <m/>
  </r>
  <r>
    <s v="514448"/>
    <s v="514448-KOP-1"/>
    <n v="2510"/>
    <s v="FIX10 12V Akku 2Ah PAPK 12 A4 2er und Ladegerät 2,4A PLGK 12 A3 KAT"/>
    <n v="1"/>
    <s v="24/26"/>
    <s v="13/26"/>
    <s v="LKASIA"/>
    <s v="24"/>
    <s v="13"/>
    <x v="9"/>
    <m/>
  </r>
  <r>
    <s v="514448"/>
    <s v="514448-RTM-1"/>
    <n v="2510"/>
    <s v="FIX10 12V Akku 2Ah PAPK 12 A4 2er und Ladegerät 2,4A PLGK 12 A3 KAT"/>
    <n v="4"/>
    <s v="24/26"/>
    <s v="13/26"/>
    <s v="LKASIA"/>
    <s v="24"/>
    <s v="13"/>
    <x v="9"/>
    <m/>
  </r>
  <r>
    <s v="514448"/>
    <s v="514448-KOP-2"/>
    <n v="2510"/>
    <s v="FIX10 12V Akku 2Ah PAPK 12 A4 2er und Ladegerät 2,4A PLGK 12 A3 KAT"/>
    <n v="1"/>
    <s v="24/26"/>
    <s v="13/26"/>
    <s v="LKASIA"/>
    <s v="24"/>
    <s v="13"/>
    <x v="9"/>
    <m/>
  </r>
  <r>
    <s v="540710"/>
    <s v="540710-KOP-1"/>
    <n v="2510"/>
    <s v="FIX10 12V Akku-Ladegerät 6 A Best KAT"/>
    <n v="2"/>
    <s v="24/26"/>
    <s v="13/26"/>
    <s v="LKASIA"/>
    <s v="24"/>
    <s v="13"/>
    <x v="9"/>
    <m/>
  </r>
  <r>
    <s v="540710"/>
    <s v="540710-RTM-1"/>
    <n v="2510"/>
    <s v="FIX10 12V Akku-Ladegerät 6 A Best KAT"/>
    <n v="1"/>
    <s v="24/26"/>
    <s v="13/26"/>
    <s v="LKASIA"/>
    <s v="24"/>
    <s v="13"/>
    <x v="9"/>
    <m/>
  </r>
  <r>
    <s v="540710"/>
    <s v="540710-RTM-2"/>
    <n v="2510"/>
    <s v="FIX10 12V Akku-Ladegerät 6 A Best KAT"/>
    <n v="1"/>
    <s v="24/26"/>
    <s v="13/26"/>
    <s v="LKASIA"/>
    <s v="24"/>
    <s v="13"/>
    <x v="9"/>
    <m/>
  </r>
  <r>
    <s v="495193"/>
    <s v="495193-BCN-4"/>
    <n v="2510"/>
    <s v="Shiatsu Massagekissen SSM 12 A1 KAT"/>
    <n v="7"/>
    <s v="15/26"/>
    <s v="14/26"/>
    <s v="LKASIA"/>
    <s v="15"/>
    <s v="14"/>
    <x v="1"/>
    <m/>
  </r>
  <r>
    <s v="495193"/>
    <s v="495193-KOP-3"/>
    <n v="2510"/>
    <s v="Shiatsu Massagekissen SSM 12 A1 KAT"/>
    <n v="6"/>
    <s v="15/26"/>
    <s v="14/26"/>
    <s v="LKASIA"/>
    <s v="15"/>
    <s v="14"/>
    <x v="1"/>
    <m/>
  </r>
  <r>
    <s v="495193"/>
    <s v="495193-RTM-3"/>
    <n v="2510"/>
    <s v="Shiatsu Massagekissen SSM 12 A1 KAT"/>
    <n v="4"/>
    <s v="15/26"/>
    <s v="14/26"/>
    <s v="LKASIA"/>
    <s v="15"/>
    <s v="14"/>
    <x v="1"/>
    <m/>
  </r>
  <r>
    <s v="514436"/>
    <s v="514436-BCN-1"/>
    <n v="2510"/>
    <s v="FIX10 12V Akku 5 Ah Best KAT"/>
    <n v="1"/>
    <s v="26/26"/>
    <s v="13/26"/>
    <s v="LKASIA"/>
    <s v="26"/>
    <s v="13"/>
    <x v="10"/>
    <m/>
  </r>
  <r>
    <s v="514436"/>
    <s v="514436-KOP-1"/>
    <n v="2510"/>
    <s v="FIX10 12V Akku 5 Ah Best KAT"/>
    <n v="5"/>
    <s v="24/26"/>
    <s v="13/26"/>
    <s v="LKASIA"/>
    <s v="24"/>
    <s v="13"/>
    <x v="9"/>
    <m/>
  </r>
  <r>
    <s v="514436"/>
    <s v="514436-RTM-1"/>
    <n v="2510"/>
    <s v="FIX10 12V Akku 5 Ah Best KAT"/>
    <n v="2"/>
    <s v="24/26"/>
    <s v="13/26"/>
    <s v="LKASIA"/>
    <s v="24"/>
    <s v="13"/>
    <x v="9"/>
    <m/>
  </r>
  <r>
    <s v="514436"/>
    <s v="514436-RTM-2"/>
    <n v="2510"/>
    <s v="FIX10 12V Akku 5 Ah Best KAT"/>
    <n v="2"/>
    <s v="24/26"/>
    <s v="13/26"/>
    <s v="LKASIA"/>
    <s v="24"/>
    <s v="13"/>
    <x v="9"/>
    <m/>
  </r>
  <r>
    <s v="514439"/>
    <s v="514439-BCN-1"/>
    <n v="2510"/>
    <s v="FIX10 12V Akku 2,5 Ah und Ladegerät 6 A Best KAT"/>
    <n v="2"/>
    <s v="26/26"/>
    <s v="13/26"/>
    <s v="LKASIA"/>
    <s v="26"/>
    <s v="13"/>
    <x v="10"/>
    <m/>
  </r>
  <r>
    <s v="514439"/>
    <s v="514439-KOP-1"/>
    <n v="2510"/>
    <s v="FIX10 12V Akku 2,5 Ah und Ladegerät 6 A Best KAT"/>
    <n v="8"/>
    <s v="24/26"/>
    <s v="13/26"/>
    <s v="LKASIA"/>
    <s v="24"/>
    <s v="13"/>
    <x v="9"/>
    <m/>
  </r>
  <r>
    <s v="514439"/>
    <s v="514439-RTM-1"/>
    <n v="2510"/>
    <s v="FIX10 12V Akku 2,5 Ah und Ladegerät 6 A Best KAT"/>
    <n v="2"/>
    <s v="24/26"/>
    <s v="13/26"/>
    <s v="LKASIA"/>
    <s v="24"/>
    <s v="13"/>
    <x v="9"/>
    <m/>
  </r>
  <r>
    <s v="514439"/>
    <s v="514439-RTM-2"/>
    <n v="2510"/>
    <s v="FIX10 12V Akku 2,5 Ah und Ladegerät 6 A Best KAT"/>
    <n v="4"/>
    <s v="24/26"/>
    <s v="13/26"/>
    <s v="LKASIA"/>
    <s v="24"/>
    <s v="13"/>
    <x v="9"/>
    <m/>
  </r>
  <r>
    <s v="537604"/>
    <s v="537604-RTM-3"/>
    <n v="2507"/>
    <s v="Ersatzspulen PRTS 5 B1 / PRTS 4 C1 (OS-Only)"/>
    <n v="1"/>
    <s v="25/26"/>
    <s v="21/26"/>
    <s v="LKASIA"/>
    <s v="25"/>
    <s v="21"/>
    <x v="4"/>
    <m/>
  </r>
  <r>
    <s v="506695"/>
    <s v="506695-KOP-3"/>
    <n v="2507"/>
    <s v="D H Sportsocken LIDL CO/PA/EL"/>
    <n v="1"/>
    <s v="26/26"/>
    <s v="22/26"/>
    <s v="LKASIA"/>
    <s v="26"/>
    <s v="22"/>
    <x v="4"/>
    <m/>
  </r>
  <r>
    <s v="508113"/>
    <s v="508113-RTM-4"/>
    <n v="2507"/>
    <s v="4V Akku-Metalldetektor PAMD 4 A1 (mit Akku ohne Ladegerät)"/>
    <n v="1"/>
    <s v="26/26"/>
    <s v="22/26"/>
    <s v="LKASIA"/>
    <s v="26"/>
    <s v="22"/>
    <x v="4"/>
    <m/>
  </r>
  <r>
    <s v="508293"/>
    <s v="508293-RTM-3"/>
    <n v="2507"/>
    <s v="12V Akku 4 Ah PAPK 12 B4"/>
    <n v="1"/>
    <s v="27/26"/>
    <s v="23/26"/>
    <s v="LKASIA"/>
    <s v="27"/>
    <s v="23"/>
    <x v="4"/>
    <m/>
  </r>
  <r>
    <s v="508296"/>
    <s v="508296-RTM-3"/>
    <n v="2507"/>
    <s v="12V Akku 2Ah PAPK 12 A4 und Ladegerät 2,4A PLGK 12 A3"/>
    <n v="1"/>
    <s v="27/26"/>
    <s v="23/26"/>
    <s v="LKASIA"/>
    <s v="27"/>
    <s v="23"/>
    <x v="4"/>
    <m/>
  </r>
  <r>
    <s v="508300"/>
    <s v="508300-RTM-3"/>
    <n v="2507"/>
    <s v="12V Akku 4 Ah PAPK 12 B4 mit 12V Akku 2Ah PAPK 12 A4 und Ladegerät 2,4A PLGK 12 A3"/>
    <n v="2"/>
    <s v="27/26"/>
    <s v="23/26"/>
    <s v="LKASIA"/>
    <s v="27"/>
    <s v="23"/>
    <x v="4"/>
    <m/>
  </r>
  <r>
    <s v="506404"/>
    <s v="506404-RTM-4"/>
    <n v="2507"/>
    <s v="Meißelschraubendreher 13-tlg. Best"/>
    <n v="2"/>
    <s v="28/26"/>
    <s v="24/26"/>
    <s v="LKASIA"/>
    <s v="28"/>
    <s v="24"/>
    <x v="4"/>
    <m/>
  </r>
  <r>
    <s v="539753"/>
    <s v="539753-RTM-2 "/>
    <n v="2510"/>
    <s v="Bettwäsche Mikrofaser Satin Normalgröße PES Lizenz Good 3fach sort."/>
    <n v="3"/>
    <s v="21/26"/>
    <s v="16/26"/>
    <s v="KLAUS HERDING"/>
    <s v="21"/>
    <s v="16"/>
    <x v="11"/>
    <m/>
  </r>
  <r>
    <s v="495855"/>
    <s v="495855-RTM-5"/>
    <n v="2507"/>
    <s v="Filtertüten PFT 20 A1 12tlg FSC/ Vliesfilterbeutel PVFT 20 A1 5tlg KAT, 2 fach"/>
    <n v="6"/>
    <s v="21/26"/>
    <s v="16/26"/>
    <s v="GRIZZLY"/>
    <s v="21"/>
    <s v="16"/>
    <x v="11"/>
    <m/>
  </r>
  <r>
    <s v="520619"/>
    <s v="520619-RTM-2"/>
    <n v="2507"/>
    <s v="20V Akku-Luftpumpe PALP 20-Li C3 / Akku- Kompressor PAK 20-Li C3, Set (oAL) KAT"/>
    <n v="4"/>
    <s v="21/26"/>
    <s v="16/26"/>
    <s v="GRIZZLY"/>
    <s v="21"/>
    <s v="16"/>
    <x v="11"/>
    <m/>
  </r>
  <r>
    <s v="494218"/>
    <s v="494218-RTM-8"/>
    <n v="2510"/>
    <s v="20V Akku-Heckenschere PHSA 20-Li D4 (oAL) KAT"/>
    <n v="4"/>
    <s v="23/26"/>
    <s v="18/26"/>
    <s v="GRIZZLY"/>
    <s v="23"/>
    <s v="18"/>
    <x v="11"/>
    <m/>
  </r>
  <r>
    <s v="494214"/>
    <s v="494214-RTM-11"/>
    <n v="2510"/>
    <s v="20V Akku-Rasentrimmer PRTA 20-Li D3 (oAL) KAT"/>
    <n v="9"/>
    <s v="23/26"/>
    <s v="18/26"/>
    <s v="GRIZZLY"/>
    <s v="23"/>
    <s v="18"/>
    <x v="11"/>
    <m/>
  </r>
  <r>
    <s v="496471"/>
    <s v="496471-RTM-8"/>
    <n v="2510"/>
    <s v="Hochdruckreiniger PHD 170 E3 KAT"/>
    <n v="3"/>
    <s v="24/26"/>
    <s v="18/26"/>
    <s v="GRIZZLY"/>
    <s v="24"/>
    <s v="18"/>
    <x v="5"/>
    <m/>
  </r>
  <r>
    <s v="494638"/>
    <s v="494638-RTM-4"/>
    <n v="2510"/>
    <s v="Tischbohrmaschine PTBM 450 A1 KAT"/>
    <n v="1"/>
    <s v="25/26"/>
    <s v="18/26"/>
    <s v="GRIZZLY"/>
    <s v="25"/>
    <s v="18"/>
    <x v="6"/>
    <m/>
  </r>
  <r>
    <s v="514864"/>
    <s v="514864-RTM-2"/>
    <n v="2510"/>
    <s v="Filtertüten PFT 30 A1 10tlg FSC/ Vliesfilterbeutel PVFT 30 A1 4tlg, 2 fach sort."/>
    <n v="5"/>
    <s v="25/26"/>
    <s v="16/26"/>
    <s v="GRIZZLY"/>
    <s v="25"/>
    <s v="16"/>
    <x v="8"/>
    <m/>
  </r>
  <r>
    <s v="495694"/>
    <s v="495694-RTM-7"/>
    <n v="2510"/>
    <s v="Hochdruckreiniger PHDP 180 D3 Best KAT"/>
    <n v="18"/>
    <s v="27/26"/>
    <s v="18/26"/>
    <s v="GRIZZLY"/>
    <s v="27"/>
    <s v="18"/>
    <x v="8"/>
    <m/>
  </r>
  <r>
    <s v="540842"/>
    <s v="540842-RTM-2"/>
    <n v="2510"/>
    <s v="Filtertüten PFT 20 A1 20tlg. FSC XXL"/>
    <n v="2"/>
    <s v="28/26"/>
    <s v="16/26"/>
    <s v="GRIZZLY"/>
    <s v="28"/>
    <s v="16"/>
    <x v="12"/>
    <m/>
  </r>
  <r>
    <s v="516200"/>
    <s v="516200-RTM-1"/>
    <n v="2510"/>
    <s v="D Strickkleid RCS PAN/PES/EA 3 fach sort."/>
    <n v="8"/>
    <s v="23/26"/>
    <s v="17/26"/>
    <s v="SUPREMA"/>
    <s v="23"/>
    <s v="17"/>
    <x v="5"/>
    <m/>
  </r>
  <r>
    <s v="515571"/>
    <s v="515571-RTM-1"/>
    <n v="2510"/>
    <s v="Tischdecke 130x170cm / Tischläufer 50x150cm 2er PES 3fach sort"/>
    <n v="8"/>
    <s v="21/26"/>
    <s v="16/26"/>
    <s v="Wolly"/>
    <s v="21"/>
    <s v="16"/>
    <x v="11"/>
    <m/>
  </r>
  <r>
    <s v="532536"/>
    <s v="532536-RTM-3"/>
    <n v="2510"/>
    <s v="Plantstand"/>
    <n v="1"/>
    <s v="24/26"/>
    <s v="17/26"/>
    <s v="Wolly"/>
    <s v="24"/>
    <s v="17"/>
    <x v="6"/>
    <m/>
  </r>
  <r>
    <s v="532536"/>
    <s v="532536-RTM-4"/>
    <n v="2510"/>
    <s v="Plantstand"/>
    <n v="1"/>
    <s v="36/26"/>
    <s v="17/26"/>
    <s v="Wolly"/>
    <s v="36"/>
    <s v="17"/>
    <x v="13"/>
    <m/>
  </r>
  <r>
    <s v="494681"/>
    <s v="494681-RTM-4"/>
    <n v="2510"/>
    <s v="Smoothie Maker Kunststoff mit Akku"/>
    <n v="1"/>
    <s v="25/26"/>
    <s v="16/26"/>
    <s v="Kompernass"/>
    <s v="25"/>
    <s v="16"/>
    <x v="8"/>
    <m/>
  </r>
  <r>
    <s v="494712"/>
    <s v="494712-RTM-4"/>
    <n v="2510"/>
    <s v="Popcorn Maker"/>
    <n v="6"/>
    <s v="21/26"/>
    <s v="17/26"/>
    <s v="Kompernass"/>
    <s v="21"/>
    <s v="17"/>
    <x v="4"/>
    <m/>
  </r>
  <r>
    <s v="494712"/>
    <s v="494712-KOP-4"/>
    <n v="2510"/>
    <s v="Popcorn Maker"/>
    <n v="7"/>
    <s v="21/26"/>
    <s v="17/26"/>
    <s v="Kompernass"/>
    <s v="21"/>
    <s v="17"/>
    <x v="4"/>
    <m/>
  </r>
  <r>
    <s v="494712"/>
    <s v="494712-BCN-4"/>
    <n v="2510"/>
    <s v="Popcorn Maker"/>
    <n v="4"/>
    <s v="25/26"/>
    <s v="17/26"/>
    <s v="Kompernass"/>
    <s v="25"/>
    <s v="17"/>
    <x v="7"/>
    <m/>
  </r>
  <r>
    <s v="517296"/>
    <s v="517296-BCN-1"/>
    <n v="2510"/>
    <s v="Deckenstütze"/>
    <n v="5"/>
    <s v="21/26"/>
    <s v="19/26"/>
    <s v="Kompernass"/>
    <s v="21"/>
    <s v="19"/>
    <x v="0"/>
    <m/>
  </r>
  <r>
    <s v="517296"/>
    <s v="517296-KOP-3"/>
    <n v="2510"/>
    <s v="Deckenstütze"/>
    <n v="7"/>
    <s v="21/26"/>
    <s v="19/26"/>
    <s v="Kompernass"/>
    <s v="21"/>
    <s v="19"/>
    <x v="0"/>
    <m/>
  </r>
  <r>
    <s v="517296"/>
    <s v="517296-RTM-1"/>
    <n v="2510"/>
    <s v="Deckenstütze"/>
    <n v="26"/>
    <s v="21/26"/>
    <s v="19/26"/>
    <s v="Kompernass"/>
    <s v="21"/>
    <s v="19"/>
    <x v="0"/>
    <m/>
  </r>
  <r>
    <s v="517296"/>
    <s v="517296-BCN-2"/>
    <n v="2510"/>
    <s v="Deckenstütze"/>
    <n v="7"/>
    <s v="22/26"/>
    <s v="20/26"/>
    <s v="Kompernass"/>
    <s v="22"/>
    <s v="20"/>
    <x v="0"/>
    <m/>
  </r>
  <r>
    <s v="517296"/>
    <s v="517296-KOP-1"/>
    <n v="2510"/>
    <s v="Deckenstütze"/>
    <n v="6"/>
    <s v="22/26"/>
    <s v="20/26"/>
    <s v="Kompernass"/>
    <s v="22"/>
    <s v="20"/>
    <x v="0"/>
    <m/>
  </r>
  <r>
    <s v="517296"/>
    <s v="517296-KOP-2"/>
    <n v="2510"/>
    <s v="Deckenstütze"/>
    <n v="4"/>
    <s v="23/26"/>
    <s v="21/26"/>
    <s v="Kompernass"/>
    <s v="23"/>
    <s v="21"/>
    <x v="0"/>
    <m/>
  </r>
  <r>
    <s v="496869"/>
    <s v="496869-RTM-5"/>
    <n v="2510"/>
    <s v="2in1 Hand- und Stielstaubsauger"/>
    <n v="2"/>
    <s v="24/26"/>
    <s v="16/26"/>
    <s v="Kompernass"/>
    <s v="24"/>
    <s v="16"/>
    <x v="7"/>
    <m/>
  </r>
  <r>
    <s v="500199"/>
    <s v="500199-RTM-4"/>
    <n v="2510"/>
    <s v="Saugroboter"/>
    <n v="1"/>
    <s v="24/26"/>
    <s v="16/26"/>
    <s v="Kompernass"/>
    <s v="24"/>
    <s v="16"/>
    <x v="7"/>
    <m/>
  </r>
  <r>
    <s v="514817"/>
    <s v="514817-RTM-1"/>
    <n v="2510"/>
    <s v="D H Einlegesohlen Sport PES 2fach sort."/>
    <n v="2"/>
    <s v="20/26"/>
    <s v="19/26"/>
    <s v="RIEG&amp;NIEDERM."/>
    <s v="20"/>
    <s v="19"/>
    <x v="1"/>
    <m/>
  </r>
  <r>
    <s v="514817"/>
    <s v="514817-KOP-1"/>
    <n v="2510"/>
    <s v="D H Einlegesohlen Sport PES 2fach sort."/>
    <n v="3"/>
    <s v="20/26"/>
    <s v="19/26"/>
    <s v="RIEG&amp;NIEDERM."/>
    <s v="20"/>
    <s v="19"/>
    <x v="1"/>
    <m/>
  </r>
  <r>
    <s v="514817"/>
    <s v="514817-BCN-1"/>
    <n v="2510"/>
    <s v="D H Einlegesohlen Sport PES 2fach sort."/>
    <n v="2"/>
    <s v="25/26"/>
    <s v="20/26"/>
    <s v="RIEG&amp;NIEDERM."/>
    <s v="25"/>
    <s v="20"/>
    <x v="11"/>
    <m/>
  </r>
  <r>
    <s v="522851"/>
    <s v="522851-RTM-1"/>
    <n v="2601"/>
    <s v="D Strickkleid RCS PAN/PES/EL 2 fach sort."/>
    <n v="24"/>
    <s v="25/26"/>
    <s v="19/26"/>
    <s v="SUPREMA"/>
    <s v="25"/>
    <s v="19"/>
    <x v="5"/>
    <m/>
  </r>
  <r>
    <s v="522170"/>
    <s v="522170-RTM-1"/>
    <n v="2601"/>
    <s v="D Pullover Strick GRS PES/EL 3 fach sort."/>
    <n v="4"/>
    <s v="27/26"/>
    <s v="18/26"/>
    <s v="SUPREMA"/>
    <s v="27"/>
    <s v="18"/>
    <x v="8"/>
    <m/>
  </r>
  <r>
    <s v="522170"/>
    <s v="522170-RTM-2"/>
    <n v="2601"/>
    <s v="D Pullover Strick GRS PES/EL 3 fach sort."/>
    <n v="5"/>
    <s v="26/26"/>
    <s v="18/26"/>
    <s v="SUPREMA"/>
    <s v="26"/>
    <s v="18"/>
    <x v="7"/>
    <m/>
  </r>
  <r>
    <s v="515210"/>
    <s v="515210-BCN-1"/>
    <n v="2510"/>
    <s v="KK M J T-Shirt 2er"/>
    <n v="2"/>
    <s v="20/26"/>
    <s v="16/26"/>
    <s v="BAYCITY"/>
    <s v="20"/>
    <s v="16"/>
    <x v="4"/>
    <m/>
  </r>
  <r>
    <s v="515210"/>
    <s v="515210-RTM-1"/>
    <n v="2510"/>
    <s v="KK M J T-Shirt 2er"/>
    <n v="2"/>
    <s v="20/26"/>
    <s v="16/26"/>
    <s v="BAYCITY"/>
    <s v="20"/>
    <s v="16"/>
    <x v="4"/>
    <m/>
  </r>
  <r>
    <s v="515257"/>
    <s v="515257-BCN-1"/>
    <n v="2510"/>
    <s v="H Cargo Shorts"/>
    <n v="2"/>
    <s v="20/26"/>
    <s v="16/26"/>
    <s v="BAYCITY"/>
    <s v="20"/>
    <s v="16"/>
    <x v="4"/>
    <m/>
  </r>
  <r>
    <s v="515383"/>
    <s v="515383-BCN-2"/>
    <n v="2510"/>
    <s v="KK M J Pyjama Wirk lang/lang"/>
    <n v="2"/>
    <s v="20/26"/>
    <s v="16/26"/>
    <s v="BAYCITY"/>
    <s v="20"/>
    <s v="16"/>
    <x v="4"/>
    <m/>
  </r>
  <r>
    <s v="515383"/>
    <s v="515383-KOP-2"/>
    <n v="2510"/>
    <s v="KK M J Pyjama Wirk lang/lang"/>
    <n v="8"/>
    <s v="20/26"/>
    <s v="16/26"/>
    <s v="BAYCITY"/>
    <s v="20"/>
    <s v="16"/>
    <x v="4"/>
    <m/>
  </r>
  <r>
    <s v="515383"/>
    <s v="515383-RTM-3"/>
    <n v="2510"/>
    <s v="KK M J Pyjama Wirk lang/lang"/>
    <n v="2"/>
    <s v="20/26"/>
    <s v="16/26"/>
    <s v="BAYCITY"/>
    <s v="20"/>
    <s v="16"/>
    <x v="4"/>
    <m/>
  </r>
  <r>
    <s v="515385"/>
    <s v="515385-BCN-1"/>
    <n v="2510"/>
    <s v="KK M J Langarmshirt"/>
    <n v="1"/>
    <s v="20/26"/>
    <s v="18/26"/>
    <s v="BAYCITY"/>
    <s v="20"/>
    <s v="18"/>
    <x v="0"/>
    <m/>
  </r>
  <r>
    <s v="515385"/>
    <s v="515385-KOP-1"/>
    <n v="2510"/>
    <s v="KK M J Langarmshirt"/>
    <n v="3"/>
    <s v="20/26"/>
    <s v="18/26"/>
    <s v="BAYCITY"/>
    <s v="20"/>
    <s v="18"/>
    <x v="0"/>
    <m/>
  </r>
  <r>
    <s v="515385"/>
    <s v="515385-RTM-1"/>
    <n v="2510"/>
    <s v="KK M J Langarmshirt"/>
    <n v="1"/>
    <s v="20/26"/>
    <s v="18/26"/>
    <s v="BAYCITY"/>
    <s v="20"/>
    <s v="18"/>
    <x v="0"/>
    <m/>
  </r>
  <r>
    <s v="515383"/>
    <s v="515383-BCN-1"/>
    <n v="2510"/>
    <s v="KK M J Pyjama Wirk lang/lang"/>
    <n v="2"/>
    <s v="21/26"/>
    <s v="17/26"/>
    <s v="BAYCITY"/>
    <s v="21"/>
    <s v="17"/>
    <x v="4"/>
    <m/>
  </r>
  <r>
    <s v="515383"/>
    <s v="515383-KOP-1"/>
    <n v="2510"/>
    <s v="KK M J Pyjama Wirk lang/lang"/>
    <n v="2"/>
    <s v="21/26"/>
    <s v="17/26"/>
    <s v="BAYCITY"/>
    <s v="21"/>
    <s v="17"/>
    <x v="4"/>
    <m/>
  </r>
  <r>
    <s v="515383"/>
    <s v="515383-RTM-2"/>
    <n v="2510"/>
    <s v="KK M J Pyjama Wirk lang/lang"/>
    <n v="3"/>
    <s v="21/26"/>
    <s v="17/26"/>
    <s v="BAYCITY"/>
    <s v="21"/>
    <s v="17"/>
    <x v="4"/>
    <m/>
  </r>
  <r>
    <s v="515383"/>
    <s v="515383-KOP-3"/>
    <n v="2510"/>
    <s v="KK M J Pyjama Wirk lang/lang"/>
    <n v="1"/>
    <s v="22/26"/>
    <s v="18/26"/>
    <s v="BAYCITY"/>
    <s v="22"/>
    <s v="18"/>
    <x v="4"/>
    <m/>
  </r>
  <r>
    <s v="515383"/>
    <s v="515383-RTM-1"/>
    <n v="2510"/>
    <s v="KK M J Pyjama Wirk lang/lang"/>
    <n v="6"/>
    <s v="22/26"/>
    <s v="18/26"/>
    <s v="BAYCITY"/>
    <s v="22"/>
    <s v="18"/>
    <x v="4"/>
    <m/>
  </r>
  <r>
    <s v="514001"/>
    <s v="514001-KOP-2"/>
    <n v="2510"/>
    <s v="D Langarmshirt 2er"/>
    <n v="2"/>
    <s v="22/26"/>
    <s v="20/26"/>
    <s v="BAYCITY"/>
    <s v="22"/>
    <s v="20"/>
    <x v="0"/>
    <m/>
  </r>
  <r>
    <s v="514001"/>
    <s v="514001-RTM-2"/>
    <n v="2510"/>
    <s v="D Langarmshirt 2er"/>
    <n v="1"/>
    <s v="22/26"/>
    <s v="20/26"/>
    <s v="BAYCITY"/>
    <s v="22"/>
    <s v="20"/>
    <x v="0"/>
    <m/>
  </r>
  <r>
    <s v="514001"/>
    <s v="514001-RTM-3"/>
    <n v="2510"/>
    <s v="D Langarmshirt 2er"/>
    <n v="1"/>
    <s v="22/26"/>
    <s v="20/26"/>
    <s v="BAYCITY"/>
    <s v="22"/>
    <s v="20"/>
    <x v="0"/>
    <m/>
  </r>
  <r>
    <s v="514001"/>
    <s v="514001-KOP-1"/>
    <n v="2510"/>
    <s v="D Langarmshirt 2er"/>
    <n v="1"/>
    <s v="23/26"/>
    <s v="20/26"/>
    <s v="BAYCITY"/>
    <s v="23"/>
    <s v="20"/>
    <x v="3"/>
    <m/>
  </r>
  <r>
    <s v="514001"/>
    <s v="514001-RTM-1"/>
    <n v="2510"/>
    <s v="D Langarmshirt 2er"/>
    <n v="1"/>
    <s v="23/26"/>
    <s v="20/26"/>
    <s v="BAYCITY"/>
    <s v="23"/>
    <s v="20"/>
    <x v="3"/>
    <m/>
  </r>
  <r>
    <s v="514260"/>
    <s v="514260-KOP-2"/>
    <n v="2510"/>
    <s v="H Weste Cord"/>
    <n v="1"/>
    <s v="23/26"/>
    <s v="21/26"/>
    <s v="BAYCITY"/>
    <s v="23"/>
    <s v="21"/>
    <x v="0"/>
    <m/>
  </r>
  <r>
    <s v="546435"/>
    <s v="546435-KOP-2"/>
    <n v="2510"/>
    <s v="D Bomberjacke Velours"/>
    <n v="2"/>
    <s v="23/26"/>
    <s v="21/26"/>
    <s v="BAYCITY"/>
    <s v="23"/>
    <s v="21"/>
    <x v="0"/>
    <m/>
  </r>
  <r>
    <s v="514001"/>
    <s v="514001-BCN-1"/>
    <n v="2510"/>
    <s v="D Langarmshirt 2er"/>
    <n v="1"/>
    <s v="24/26"/>
    <s v="20/26"/>
    <s v="BAYCITY"/>
    <s v="24"/>
    <s v="20"/>
    <x v="4"/>
    <m/>
  </r>
  <r>
    <s v="514001"/>
    <s v="514001-KOP-3"/>
    <n v="2510"/>
    <s v="D Langarmshirt 2er"/>
    <n v="1"/>
    <s v="24/26"/>
    <s v="20/26"/>
    <s v="BAYCITY"/>
    <s v="24"/>
    <s v="20"/>
    <x v="4"/>
    <m/>
  </r>
  <r>
    <s v="514224"/>
    <s v="514224-KOP-2"/>
    <n v="2510"/>
    <s v="D Trenchjacke kurz"/>
    <n v="1"/>
    <s v="24/26"/>
    <s v="21/26"/>
    <s v="BAYCITY"/>
    <s v="24"/>
    <s v="21"/>
    <x v="3"/>
    <m/>
  </r>
  <r>
    <s v="514234"/>
    <s v="514234-BCN-1"/>
    <n v="2510"/>
    <s v="D Steppweste"/>
    <n v="1"/>
    <s v="27/26"/>
    <s v="23/26"/>
    <s v="BAYCITY"/>
    <s v="27"/>
    <s v="23"/>
    <x v="4"/>
    <m/>
  </r>
  <r>
    <s v="494924"/>
    <s v="494924-RTM-7"/>
    <n v="2510"/>
    <s v="Schlafsack Mumie/Decke GRS KAT,2 fach sort."/>
    <n v="3"/>
    <s v="14/26"/>
    <s v="14/26"/>
    <s v="Delta Sport"/>
    <s v="14"/>
    <s v="14"/>
    <x v="2"/>
    <m/>
  </r>
  <r>
    <s v="504796"/>
    <s v="504796-BCN-2"/>
    <n v="2510"/>
    <s v="Campingstuhl faltbar Good KAT, 2 fach sort."/>
    <n v="12"/>
    <s v="14/26"/>
    <s v="14/26"/>
    <s v="Delta Sport"/>
    <s v="14"/>
    <s v="14"/>
    <x v="2"/>
    <m/>
  </r>
  <r>
    <s v="504796"/>
    <s v="504796-KOP-5"/>
    <n v="2510"/>
    <s v="Campingstuhl faltbar Good KAT, 2 fach sort."/>
    <n v="6"/>
    <s v="14/26"/>
    <s v="14/26"/>
    <s v="Delta Sport"/>
    <s v="14"/>
    <s v="14"/>
    <x v="2"/>
    <m/>
  </r>
  <r>
    <s v="504796"/>
    <s v="504796-RTM-6"/>
    <n v="2510"/>
    <s v="Campingstuhl faltbar Good KAT, 2 fach sort."/>
    <n v="12"/>
    <s v="14/26"/>
    <s v="14/26"/>
    <s v="Delta Sport"/>
    <s v="14"/>
    <s v="14"/>
    <x v="2"/>
    <m/>
  </r>
  <r>
    <s v="504796"/>
    <s v="504796-RTM-8"/>
    <n v="2510"/>
    <s v="Campingstuhl faltbar Good KAT, 2 fach sort."/>
    <n v="16"/>
    <s v="14/26"/>
    <s v="14/26"/>
    <s v="Delta Sport"/>
    <s v="14"/>
    <s v="14"/>
    <x v="2"/>
    <m/>
  </r>
  <r>
    <s v="504805"/>
    <s v="504805-KOP-4"/>
    <n v="2510"/>
    <s v="Campingtisch Alu faltbar KAT"/>
    <n v="1"/>
    <s v="14/26"/>
    <s v="14/26"/>
    <s v="Delta Sport"/>
    <s v="14"/>
    <s v="14"/>
    <x v="2"/>
    <m/>
  </r>
  <r>
    <s v="504805"/>
    <s v="504805-RTM-4"/>
    <n v="2510"/>
    <s v="Campingtisch Alu faltbar KAT"/>
    <n v="2"/>
    <s v="14/26"/>
    <s v="14/26"/>
    <s v="Delta Sport"/>
    <s v="14"/>
    <s v="14"/>
    <x v="2"/>
    <m/>
  </r>
  <r>
    <s v="511324"/>
    <s v="511324-KOP-3"/>
    <n v="2510"/>
    <s v="Campingdusche 25L, Campingspüle faltbar, Wasserkanister KAT, 3 fach sort."/>
    <n v="1"/>
    <s v="14/26"/>
    <s v="14/26"/>
    <s v="Delta Sport"/>
    <s v="14"/>
    <s v="14"/>
    <x v="2"/>
    <m/>
  </r>
  <r>
    <s v="511324"/>
    <s v="511324-RTM-4"/>
    <n v="2510"/>
    <s v="Campingdusche 25L, Campingspüle faltbar, Wasserkanister KAT, 3 fach sort."/>
    <n v="1"/>
    <s v="14/26"/>
    <s v="14/26"/>
    <s v="Delta Sport"/>
    <s v="14"/>
    <s v="14"/>
    <x v="2"/>
    <m/>
  </r>
  <r>
    <s v="518863"/>
    <s v="518863-BCN-5"/>
    <n v="2510"/>
    <s v="Messersortierung KAT, 3 fach sort."/>
    <n v="1"/>
    <s v="14/26"/>
    <s v="14/26"/>
    <s v="Delta Sport"/>
    <s v="14"/>
    <s v="14"/>
    <x v="2"/>
    <m/>
  </r>
  <r>
    <s v="518863"/>
    <s v="518863-KOP-5"/>
    <n v="2510"/>
    <s v="Messersortierung KAT, 3 fach sort."/>
    <n v="3"/>
    <s v="14/26"/>
    <s v="14/26"/>
    <s v="Delta Sport"/>
    <s v="14"/>
    <s v="14"/>
    <x v="2"/>
    <m/>
  </r>
  <r>
    <s v="518863"/>
    <s v="518863-RTM-5"/>
    <n v="2510"/>
    <s v="Messersortierung KAT, 3 fach sort."/>
    <n v="2"/>
    <s v="14/26"/>
    <s v="14/26"/>
    <s v="Delta Sport"/>
    <s v="14"/>
    <s v="14"/>
    <x v="2"/>
    <m/>
  </r>
  <r>
    <s v="519509"/>
    <s v="519509-KOP-3"/>
    <n v="2510"/>
    <s v="Schlafsack Good KAT, 2 fach sort."/>
    <n v="2"/>
    <s v="14/26"/>
    <s v="14/26"/>
    <s v="Delta Sport"/>
    <s v="14"/>
    <s v="14"/>
    <x v="2"/>
    <m/>
  </r>
  <r>
    <s v="519509"/>
    <s v="519509-RTM-6"/>
    <n v="2510"/>
    <s v="Schlafsack Good KAT, 2 fach sort."/>
    <n v="2"/>
    <s v="14/26"/>
    <s v="14/26"/>
    <s v="Delta Sport"/>
    <s v="14"/>
    <s v="14"/>
    <x v="2"/>
    <m/>
  </r>
  <r>
    <s v="526647"/>
    <s v="526647-KOP-3"/>
    <n v="2510"/>
    <s v="Schlafsack Mumie/Decke GRS KAT Deckenschlafsack grau"/>
    <n v="2"/>
    <s v="14/26"/>
    <s v="14/26"/>
    <s v="Delta Sport"/>
    <s v="14"/>
    <s v="14"/>
    <x v="2"/>
    <m/>
  </r>
  <r>
    <s v="526654"/>
    <s v="526654-KOP-3"/>
    <n v="2510"/>
    <s v="Campingstuhl faltbar Good KAT Campingstuhl grau"/>
    <n v="6"/>
    <s v="14/26"/>
    <s v="14/26"/>
    <s v="Delta Sport"/>
    <s v="14"/>
    <s v="14"/>
    <x v="2"/>
    <m/>
  </r>
  <r>
    <s v="526657"/>
    <s v="526657-KOP-3"/>
    <n v="2510"/>
    <s v="Campingstuhl faltbar Good KAT Campingstuhl grün"/>
    <n v="7"/>
    <s v="14/26"/>
    <s v="14/26"/>
    <s v="Delta Sport"/>
    <s v="14"/>
    <s v="14"/>
    <x v="2"/>
    <m/>
  </r>
  <r>
    <s v="528981"/>
    <s v="528981-KOP-4"/>
    <n v="2510"/>
    <s v="Schlafsack Good KAT Mumienschlafsack Good grau / grau"/>
    <n v="6"/>
    <s v="14/26"/>
    <s v="14/26"/>
    <s v="Delta Sport"/>
    <s v="14"/>
    <s v="14"/>
    <x v="2"/>
    <m/>
  </r>
  <r>
    <s v="528982"/>
    <s v="528982-KOP-4"/>
    <n v="2510"/>
    <s v="Schlafsack Good KAT Deckenschlafsack Good grün / grau"/>
    <n v="2"/>
    <s v="14/26"/>
    <s v="14/26"/>
    <s v="Delta Sport"/>
    <s v="14"/>
    <s v="14"/>
    <x v="2"/>
    <m/>
  </r>
  <r>
    <s v="530969"/>
    <s v="530969-KOP-2"/>
    <n v="2510"/>
    <s v="Campingdusche 25L, Campingspüle faltbar, Wasserkanister KAT Campingdusche"/>
    <n v="1"/>
    <s v="14/26"/>
    <s v="14/26"/>
    <s v="Delta Sport"/>
    <s v="14"/>
    <s v="14"/>
    <x v="2"/>
    <m/>
  </r>
  <r>
    <s v="530971"/>
    <s v="530971-KOP-2"/>
    <n v="2510"/>
    <s v="Campingdusche 25L, Campingspüle faltbar, Wasserkanister KAT Campingspüle"/>
    <n v="1"/>
    <s v="14/26"/>
    <s v="14/26"/>
    <s v="Delta Sport"/>
    <s v="14"/>
    <s v="14"/>
    <x v="2"/>
    <m/>
  </r>
  <r>
    <s v="530974"/>
    <s v="530974-KOP-2"/>
    <n v="2510"/>
    <s v="Campingdusche 25L, Campingspüle faltbar, Wasserkanister KAT Wasserkanister faltbar"/>
    <n v="2"/>
    <s v="14/26"/>
    <s v="14/26"/>
    <s v="Delta Sport"/>
    <s v="14"/>
    <s v="14"/>
    <x v="2"/>
    <m/>
  </r>
  <r>
    <s v="537161"/>
    <s v="537161-KOP-3"/>
    <n v="2510"/>
    <s v="Luftbett Camping 191 x 132 x 22 cm"/>
    <n v="2"/>
    <s v="14/26"/>
    <s v="14/26"/>
    <s v="Delta Sport"/>
    <s v="14"/>
    <s v="14"/>
    <x v="2"/>
    <m/>
  </r>
  <r>
    <s v="537161"/>
    <s v="537161-RTM-5"/>
    <n v="2510"/>
    <s v="Luftbett Camping 191 x 132 x 22 cm"/>
    <n v="2"/>
    <s v="14/26"/>
    <s v="14/26"/>
    <s v="Delta Sport"/>
    <s v="14"/>
    <s v="14"/>
    <x v="2"/>
    <m/>
  </r>
  <r>
    <s v="496381"/>
    <s v="496381-RTM-3"/>
    <n v="2504"/>
    <s v="Kinder Regal magnetisch für Audiosystem FSC, 2 fach sort."/>
    <n v="1"/>
    <s v="15/26"/>
    <s v="15/26"/>
    <s v="Delta Sport"/>
    <s v="15"/>
    <s v="15"/>
    <x v="2"/>
    <m/>
  </r>
  <r>
    <s v="515862"/>
    <s v="515862-RTM-1"/>
    <n v="2510"/>
    <s v="Metallregal ausziehbar KAT"/>
    <n v="8"/>
    <s v="15/26"/>
    <s v="15/26"/>
    <s v="Delta Sport"/>
    <s v="15"/>
    <s v="15"/>
    <x v="2"/>
    <m/>
  </r>
  <r>
    <s v="525566"/>
    <s v="525566-BCN-2"/>
    <n v="2510"/>
    <s v="Fitness- und Yogamatte PVC 183 x 61 x 0,6 cm KAT, 2 fach sort."/>
    <n v="12"/>
    <s v="15/26"/>
    <s v="15/26"/>
    <s v="Delta Sport"/>
    <s v="15"/>
    <s v="15"/>
    <x v="2"/>
    <m/>
  </r>
  <r>
    <s v="525566"/>
    <s v="525566-KOP-4"/>
    <n v="2510"/>
    <s v="Fitness- und Yogamatte PVC 183 x 61 x 0,6 cm KAT, 2 fach sort."/>
    <n v="1"/>
    <s v="15/26"/>
    <s v="15/26"/>
    <s v="Delta Sport"/>
    <s v="15"/>
    <s v="15"/>
    <x v="2"/>
    <m/>
  </r>
  <r>
    <s v="525566"/>
    <s v="525566-RTM-2"/>
    <n v="2510"/>
    <s v="Fitness- und Yogamatte PVC 183 x 61 x 0,6 cm KAT, 2 fach sort."/>
    <n v="6"/>
    <s v="15/26"/>
    <s v="15/26"/>
    <s v="Delta Sport"/>
    <s v="15"/>
    <s v="15"/>
    <x v="2"/>
    <m/>
  </r>
  <r>
    <s v="494846"/>
    <s v="494846-KOP-3"/>
    <n v="2510"/>
    <s v="Fahrradcomputer kabellos KAT"/>
    <n v="1"/>
    <s v="16/26"/>
    <s v="15/26"/>
    <s v="Delta Sport"/>
    <s v="16"/>
    <s v="15"/>
    <x v="1"/>
    <m/>
  </r>
  <r>
    <s v="494846"/>
    <s v="494846-RTM-3"/>
    <n v="2510"/>
    <s v="Fahrradcomputer kabellos KAT"/>
    <n v="1"/>
    <s v="16/26"/>
    <s v="15/26"/>
    <s v="Delta Sport"/>
    <s v="16"/>
    <s v="15"/>
    <x v="1"/>
    <m/>
  </r>
  <r>
    <s v="494848"/>
    <s v="494848-KOP-4"/>
    <n v="2510"/>
    <s v="Fahrrad Gepäcktaschen KAT, 2 fach sort."/>
    <n v="1"/>
    <s v="16/26"/>
    <s v="14/26"/>
    <s v="Delta Sport"/>
    <s v="16"/>
    <s v="14"/>
    <x v="0"/>
    <m/>
  </r>
  <r>
    <s v="494848"/>
    <s v="494848-RTM-7"/>
    <n v="2510"/>
    <s v="Fahrrad Gepäcktaschen KAT, 2 fach sort."/>
    <n v="6"/>
    <s v="16/26"/>
    <s v="15/26"/>
    <s v="Delta Sport"/>
    <s v="16"/>
    <s v="15"/>
    <x v="1"/>
    <m/>
  </r>
  <r>
    <s v="494850"/>
    <s v="494850-BCN-2"/>
    <n v="2510"/>
    <s v="Rucksack Fahrrad KAT, 2 fach sort."/>
    <n v="3"/>
    <s v="16/26"/>
    <s v="15/26"/>
    <s v="Delta Sport"/>
    <s v="16"/>
    <s v="15"/>
    <x v="1"/>
    <m/>
  </r>
  <r>
    <s v="494850"/>
    <s v="494850-KOP-6"/>
    <n v="2510"/>
    <s v="Rucksack Fahrrad KAT, 2 fach sort."/>
    <n v="3"/>
    <s v="16/26"/>
    <s v="15/26"/>
    <s v="Delta Sport"/>
    <s v="16"/>
    <s v="15"/>
    <x v="1"/>
    <m/>
  </r>
  <r>
    <s v="494850"/>
    <s v="494850-RTM-4"/>
    <n v="2510"/>
    <s v="Rucksack Fahrrad KAT, 2 fach sort."/>
    <n v="2"/>
    <s v="16/26"/>
    <s v="15/26"/>
    <s v="Delta Sport"/>
    <s v="16"/>
    <s v="15"/>
    <x v="1"/>
    <m/>
  </r>
  <r>
    <s v="497051"/>
    <s v="497051-BCN-2"/>
    <n v="2510"/>
    <s v="Fahrradwerkzeugkoffer 20-tlg. KAT"/>
    <n v="1"/>
    <s v="16/26"/>
    <s v="15/26"/>
    <s v="Delta Sport"/>
    <s v="16"/>
    <s v="15"/>
    <x v="1"/>
    <m/>
  </r>
  <r>
    <s v="497051"/>
    <s v="497051-KOP-4"/>
    <n v="2510"/>
    <s v="Fahrradwerkzeugkoffer 20-tlg. KAT"/>
    <n v="1"/>
    <s v="16/26"/>
    <s v="15/26"/>
    <s v="Delta Sport"/>
    <s v="16"/>
    <s v="15"/>
    <x v="1"/>
    <m/>
  </r>
  <r>
    <s v="497051"/>
    <s v="497051-RTM-5"/>
    <n v="2510"/>
    <s v="Fahrradwerkzeugkoffer 20-tlg. KAT"/>
    <n v="2"/>
    <s v="16/26"/>
    <s v="15/26"/>
    <s v="Delta Sport"/>
    <s v="16"/>
    <s v="15"/>
    <x v="1"/>
    <m/>
  </r>
  <r>
    <s v="500552"/>
    <s v="500552-BCN-2"/>
    <n v="2510"/>
    <s v="Fahrrad Montageständer KAT"/>
    <n v="6"/>
    <s v="16/26"/>
    <s v="15/26"/>
    <s v="Delta Sport"/>
    <s v="16"/>
    <s v="15"/>
    <x v="1"/>
    <m/>
  </r>
  <r>
    <s v="500552"/>
    <s v="500552-KOP-8"/>
    <n v="2510"/>
    <s v="Fahrrad Montageständer KAT"/>
    <n v="4"/>
    <s v="16/26"/>
    <s v="15/26"/>
    <s v="Delta Sport"/>
    <s v="16"/>
    <s v="15"/>
    <x v="1"/>
    <m/>
  </r>
  <r>
    <s v="500552"/>
    <s v="500552-RTM-10"/>
    <n v="2510"/>
    <s v="Fahrrad Montageständer KAT"/>
    <n v="2"/>
    <s v="16/26"/>
    <s v="15/26"/>
    <s v="Delta Sport"/>
    <s v="16"/>
    <s v="15"/>
    <x v="1"/>
    <m/>
  </r>
  <r>
    <s v="500552"/>
    <s v="500552-RTM-11"/>
    <n v="2510"/>
    <s v="Fahrrad Montageständer KAT"/>
    <n v="6"/>
    <s v="16/26"/>
    <s v="15/26"/>
    <s v="Delta Sport"/>
    <s v="16"/>
    <s v="15"/>
    <x v="1"/>
    <m/>
  </r>
  <r>
    <s v="500577"/>
    <s v="500577-BCN-2"/>
    <n v="2510"/>
    <s v="Fahrradschlosssortierung - Good KAT, 3 fach sort."/>
    <n v="4"/>
    <s v="16/26"/>
    <s v="15/26"/>
    <s v="Delta Sport"/>
    <s v="16"/>
    <s v="15"/>
    <x v="1"/>
    <m/>
  </r>
  <r>
    <s v="500577"/>
    <s v="500577-KOP-4"/>
    <n v="2510"/>
    <s v="Fahrradschlosssortierung - Good KAT, 3 fach sort."/>
    <n v="6"/>
    <s v="16/26"/>
    <s v="15/26"/>
    <s v="Delta Sport"/>
    <s v="16"/>
    <s v="15"/>
    <x v="1"/>
    <m/>
  </r>
  <r>
    <s v="500577"/>
    <s v="500577-RTM-4"/>
    <n v="2510"/>
    <s v="Fahrradschlosssortierung - Good KAT, 3 fach sort."/>
    <n v="12"/>
    <s v="16/26"/>
    <s v="15/26"/>
    <s v="Delta Sport"/>
    <s v="16"/>
    <s v="15"/>
    <x v="1"/>
    <m/>
  </r>
  <r>
    <s v="507050"/>
    <s v="507050-RTM-4"/>
    <n v="2507"/>
    <s v="Loungeecke braun mit Tisch  Polyrattan Best"/>
    <n v="2"/>
    <s v="16/26"/>
    <s v="15/26"/>
    <s v="Delta Sport"/>
    <s v="16"/>
    <s v="15"/>
    <x v="1"/>
    <m/>
  </r>
  <r>
    <s v="507050"/>
    <s v="507050-RTM-5"/>
    <n v="2507"/>
    <s v="Loungeecke braun mit Tisch  Polyrattan Best"/>
    <n v="2"/>
    <s v="16/26"/>
    <s v="15/26"/>
    <s v="Delta Sport"/>
    <s v="16"/>
    <s v="15"/>
    <x v="1"/>
    <m/>
  </r>
  <r>
    <s v="507974"/>
    <s v="507974-RTM-4"/>
    <n v="2507"/>
    <s v="Pavillon XL 6x3x2,5m Good"/>
    <n v="10"/>
    <s v="16/26"/>
    <s v="15/26"/>
    <s v="Delta Sport"/>
    <s v="16"/>
    <s v="15"/>
    <x v="1"/>
    <m/>
  </r>
  <r>
    <s v="511324"/>
    <s v="511324-BCN-2"/>
    <n v="2510"/>
    <s v="Campingdusche 25L, Campingspüle faltbar, Wasserkanister KAT, 3 fach sort."/>
    <n v="3"/>
    <s v="16/26"/>
    <s v="14/26"/>
    <s v="Delta Sport"/>
    <s v="16"/>
    <s v="14"/>
    <x v="0"/>
    <m/>
  </r>
  <r>
    <s v="511324"/>
    <s v="511324-KOP-2"/>
    <n v="2510"/>
    <s v="Campingdusche 25L, Campingspüle faltbar, Wasserkanister KAT, 3 fach sort."/>
    <n v="3"/>
    <s v="16/26"/>
    <s v="14/26"/>
    <s v="Delta Sport"/>
    <s v="16"/>
    <s v="14"/>
    <x v="0"/>
    <m/>
  </r>
  <r>
    <s v="536793"/>
    <s v="536793-BCN-1"/>
    <n v="2510"/>
    <s v="KK Rucksack Ryder's Dino Backpack (Movie exclusive), 2 fach sort."/>
    <n v="5"/>
    <s v="16/26"/>
    <s v="15/26"/>
    <s v="Delta Sport"/>
    <s v="16"/>
    <s v="15"/>
    <x v="1"/>
    <m/>
  </r>
  <r>
    <s v="536793"/>
    <s v="536793-KOP-2"/>
    <n v="2510"/>
    <s v="KK Rucksack Ryder's Dino Backpack (Movie exclusive), 2 fach sort."/>
    <n v="9"/>
    <s v="16/26"/>
    <s v="15/26"/>
    <s v="Delta Sport"/>
    <s v="16"/>
    <s v="15"/>
    <x v="1"/>
    <m/>
  </r>
  <r>
    <s v="536793"/>
    <s v="536793-RTM-1"/>
    <n v="2510"/>
    <s v="KK Rucksack Ryder's Dino Backpack (Movie exclusive), 2 fach sort."/>
    <n v="16"/>
    <s v="16/26"/>
    <s v="15/26"/>
    <s v="Delta Sport"/>
    <s v="16"/>
    <s v="15"/>
    <x v="1"/>
    <m/>
  </r>
  <r>
    <s v="500096"/>
    <s v="500096-RTM-10"/>
    <n v="2510"/>
    <s v="Haushaltsleiter Aluminium, 4-stufig KAT"/>
    <n v="16"/>
    <s v="25/26"/>
    <s v="24/26"/>
    <s v="Delta Sport"/>
    <s v="25"/>
    <s v="24"/>
    <x v="1"/>
    <m/>
  </r>
  <r>
    <s v="494848"/>
    <s v="494848-BCN-2"/>
    <n v="2510"/>
    <s v="Fahrrad Gepäcktaschen KAT, 2 fach sort."/>
    <n v="2"/>
    <s v="17/26"/>
    <s v="14/26"/>
    <s v="Delta Sport"/>
    <s v="17"/>
    <s v="14"/>
    <x v="3"/>
    <m/>
  </r>
  <r>
    <s v="496180"/>
    <s v="496180-BCN-2"/>
    <n v="2510"/>
    <s v="Interlock-Organizer Set 3tlg. KAT"/>
    <n v="24"/>
    <s v="17/26"/>
    <s v="16/26"/>
    <s v="Delta Sport"/>
    <s v="17"/>
    <s v="16"/>
    <x v="1"/>
    <m/>
  </r>
  <r>
    <s v="496180"/>
    <s v="496180-KOP-3"/>
    <n v="2510"/>
    <s v="Interlock-Organizer Set 3tlg. KAT"/>
    <n v="14"/>
    <s v="17/26"/>
    <s v="16/26"/>
    <s v="Delta Sport"/>
    <s v="17"/>
    <s v="16"/>
    <x v="1"/>
    <m/>
  </r>
  <r>
    <s v="496180"/>
    <s v="496180-RTM-5"/>
    <n v="2510"/>
    <s v="Interlock-Organizer Set 3tlg. KAT"/>
    <n v="24"/>
    <s v="17/26"/>
    <s v="16/26"/>
    <s v="Delta Sport"/>
    <s v="17"/>
    <s v="16"/>
    <x v="1"/>
    <m/>
  </r>
  <r>
    <s v="496180"/>
    <s v="496180-RTM-7"/>
    <n v="2510"/>
    <s v="Interlock-Organizer Set 3tlg. KAT"/>
    <n v="4"/>
    <s v="17/26"/>
    <s v="16/26"/>
    <s v="Delta Sport"/>
    <s v="17"/>
    <s v="16"/>
    <x v="1"/>
    <m/>
  </r>
  <r>
    <s v="508652"/>
    <s v="508652-RTM-2"/>
    <n v="2507"/>
    <s v="Schuhregal Bambus FSC"/>
    <n v="3"/>
    <s v="19/26"/>
    <s v="16/26"/>
    <s v="Delta Sport"/>
    <s v="19"/>
    <s v="16"/>
    <x v="3"/>
    <m/>
  </r>
  <r>
    <s v="500552"/>
    <s v="500552-RTM-8"/>
    <n v="2510"/>
    <s v="Fahrrad Montageständer KAT"/>
    <n v="16"/>
    <s v="17/26"/>
    <s v="15/26"/>
    <s v="Delta Sport"/>
    <s v="17"/>
    <s v="15"/>
    <x v="0"/>
    <m/>
  </r>
  <r>
    <s v="516901"/>
    <s v="516901-KOP-1"/>
    <n v="2510"/>
    <s v="Aufbewahrungskorb 9,5L 1er/ 3,3L 2er KAT, 4 fach sort."/>
    <n v="4"/>
    <s v="17/26"/>
    <s v="16/26"/>
    <s v="Delta Sport"/>
    <s v="17"/>
    <s v="16"/>
    <x v="1"/>
    <m/>
  </r>
  <r>
    <s v="516901"/>
    <s v="516901-RTM-3"/>
    <n v="2510"/>
    <s v="Aufbewahrungskorb 9,5L 1er/ 3,3L 2er KAT, 4 fach sort."/>
    <n v="2"/>
    <s v="17/26"/>
    <s v="16/26"/>
    <s v="Delta Sport"/>
    <s v="17"/>
    <s v="16"/>
    <x v="1"/>
    <m/>
  </r>
  <r>
    <s v="494829"/>
    <s v="494829-RTM-5"/>
    <n v="2504"/>
    <s v="Sackkarre klappbar 100 kg"/>
    <n v="3"/>
    <s v="18/26"/>
    <s v="16/26"/>
    <s v="Delta Sport"/>
    <s v="18"/>
    <s v="16"/>
    <x v="0"/>
    <m/>
  </r>
  <r>
    <s v="504796"/>
    <s v="504796-RTM-7"/>
    <n v="2510"/>
    <s v="Campingstuhl faltbar Good KAT, 2 fach sort."/>
    <n v="12"/>
    <s v="18/26"/>
    <s v="14/26"/>
    <s v="Delta Sport"/>
    <s v="18"/>
    <s v="14"/>
    <x v="4"/>
    <m/>
  </r>
  <r>
    <s v="511324"/>
    <s v="511324-RTM-3"/>
    <n v="2510"/>
    <s v="Campingdusche 25L, Campingspüle faltbar, Wasserkanister KAT, 3 fach sort."/>
    <n v="5"/>
    <s v="18/26"/>
    <s v="14/26"/>
    <s v="Delta Sport"/>
    <s v="18"/>
    <s v="14"/>
    <x v="4"/>
    <m/>
  </r>
  <r>
    <s v="512396"/>
    <s v="512396-BCN-4"/>
    <n v="2510"/>
    <s v="Sporttasche / Sportrucksack Good KAT, 3 fach sort."/>
    <n v="4"/>
    <s v="18/26"/>
    <s v="17/26"/>
    <s v="Delta Sport"/>
    <s v="18"/>
    <s v="17"/>
    <x v="1"/>
    <m/>
  </r>
  <r>
    <s v="512396"/>
    <s v="512396-KOP-5"/>
    <n v="2510"/>
    <s v="Sporttasche / Sportrucksack Good KAT, 3 fach sort."/>
    <n v="2"/>
    <s v="18/26"/>
    <s v="17/26"/>
    <s v="Delta Sport"/>
    <s v="18"/>
    <s v="17"/>
    <x v="1"/>
    <m/>
  </r>
  <r>
    <s v="512396"/>
    <s v="512396-RTM-6"/>
    <n v="2510"/>
    <s v="Sporttasche / Sportrucksack Good KAT, 3 fach sort."/>
    <n v="2"/>
    <s v="18/26"/>
    <s v="17/26"/>
    <s v="Delta Sport"/>
    <s v="18"/>
    <s v="17"/>
    <x v="1"/>
    <m/>
  </r>
  <r>
    <s v="514717"/>
    <s v="514717-KOP-1"/>
    <n v="2510"/>
    <s v="Hundebett (selbstwärmend/selbstkühlend) Größe M Best KAT"/>
    <n v="2"/>
    <s v="18/26"/>
    <s v="17/26"/>
    <s v="Delta Sport"/>
    <s v="18"/>
    <s v="17"/>
    <x v="1"/>
    <m/>
  </r>
  <r>
    <s v="514717"/>
    <s v="514717-RTM-1"/>
    <n v="2510"/>
    <s v="Hundebett (selbstwärmend/selbstkühlend) Größe M Best KAT"/>
    <n v="20"/>
    <s v="18/26"/>
    <s v="17/26"/>
    <s v="Delta Sport"/>
    <s v="18"/>
    <s v="17"/>
    <x v="1"/>
    <m/>
  </r>
  <r>
    <s v="516497"/>
    <s v="516497-KOP-1"/>
    <n v="2510"/>
    <s v="Rucksack, Turnbeutel, Federmäppchen Lizenz, 4 fach sort."/>
    <n v="2"/>
    <s v="18/26"/>
    <s v="17/26"/>
    <s v="Delta Sport"/>
    <s v="18"/>
    <s v="17"/>
    <x v="1"/>
    <m/>
  </r>
  <r>
    <s v="516497"/>
    <s v="516497-RTM-2"/>
    <n v="2510"/>
    <s v="Rucksack, Turnbeutel, Federmäppchen Lizenz, 4 fach sort."/>
    <n v="1"/>
    <s v="18/26"/>
    <s v="17/26"/>
    <s v="Delta Sport"/>
    <s v="18"/>
    <s v="17"/>
    <x v="1"/>
    <m/>
  </r>
  <r>
    <s v="525566"/>
    <s v="525566-KOP-2"/>
    <n v="2510"/>
    <s v="Fitness- und Yogamatte PVC 183 x 61 x 0,6 cm KAT, 2 fach sort."/>
    <n v="5"/>
    <s v="18/26"/>
    <s v="15/26"/>
    <s v="Delta Sport"/>
    <s v="18"/>
    <s v="15"/>
    <x v="3"/>
    <m/>
  </r>
  <r>
    <s v="537161"/>
    <s v="537161-RTM-4"/>
    <n v="2510"/>
    <s v="Luftbett Camping 191 x 132 x 22 cm"/>
    <n v="4"/>
    <s v="18/26"/>
    <s v="14/26"/>
    <s v="Delta Sport"/>
    <s v="18"/>
    <s v="14"/>
    <x v="4"/>
    <m/>
  </r>
  <r>
    <s v="539948"/>
    <s v="539948-BCN-1"/>
    <n v="2510"/>
    <s v="Laufrucksack / -weste KAT, 3 fach sort."/>
    <n v="1"/>
    <s v="18/26"/>
    <s v="17/26"/>
    <s v="Delta Sport"/>
    <s v="18"/>
    <s v="17"/>
    <x v="1"/>
    <m/>
  </r>
  <r>
    <s v="539948"/>
    <s v="539948-KOP-1"/>
    <n v="2510"/>
    <s v="Laufrucksack / -weste KAT, 3 fach sort."/>
    <n v="1"/>
    <s v="18/26"/>
    <s v="17/26"/>
    <s v="Delta Sport"/>
    <s v="18"/>
    <s v="17"/>
    <x v="1"/>
    <m/>
  </r>
  <r>
    <s v="539948"/>
    <s v="539948-RTM-1"/>
    <n v="2510"/>
    <s v="Laufrucksack / -weste KAT, 3 fach sort."/>
    <n v="3"/>
    <s v="18/26"/>
    <s v="17/26"/>
    <s v="Delta Sport"/>
    <s v="18"/>
    <s v="17"/>
    <x v="1"/>
    <m/>
  </r>
  <r>
    <s v="528025"/>
    <s v="528025-RTM-2"/>
    <n v="2510"/>
    <s v="Baby Reisebett KAT"/>
    <n v="2"/>
    <s v="27/26"/>
    <s v="23/26"/>
    <s v="Delta Sport"/>
    <s v="27"/>
    <s v="23"/>
    <x v="4"/>
    <m/>
  </r>
  <r>
    <s v="495957"/>
    <s v="495957-BCN-3"/>
    <n v="2510"/>
    <s v="Gartensäge KAT, 2 fach sort."/>
    <n v="2"/>
    <s v="19/26"/>
    <s v="18/26"/>
    <s v="Delta Sport"/>
    <s v="19"/>
    <s v="18"/>
    <x v="1"/>
    <m/>
  </r>
  <r>
    <s v="495957"/>
    <s v="495957-KOP-4"/>
    <n v="2510"/>
    <s v="Gartensäge KAT, 2 fach sort."/>
    <n v="2"/>
    <s v="19/26"/>
    <s v="18/26"/>
    <s v="Delta Sport"/>
    <s v="19"/>
    <s v="18"/>
    <x v="1"/>
    <m/>
  </r>
  <r>
    <s v="495957"/>
    <s v="495957-RTM-3"/>
    <n v="2510"/>
    <s v="Gartensäge KAT, 2 fach sort."/>
    <n v="3"/>
    <s v="19/26"/>
    <s v="18/26"/>
    <s v="Delta Sport"/>
    <s v="19"/>
    <s v="18"/>
    <x v="1"/>
    <m/>
  </r>
  <r>
    <s v="509087"/>
    <s v="509087-RTM-3"/>
    <n v="2507"/>
    <s v="Kofferraumaufbewahrungsboxen Best KAT, 3 fach sort."/>
    <n v="1"/>
    <s v="19/26"/>
    <s v="19/26"/>
    <s v="Delta Sport"/>
    <s v="19"/>
    <s v="19"/>
    <x v="2"/>
    <m/>
  </r>
  <r>
    <s v="509369"/>
    <s v="509369-RTM-3"/>
    <n v="2507"/>
    <s v="Fußball Dartscheibe aufblasbar"/>
    <n v="1"/>
    <s v="19/26"/>
    <s v="15/26"/>
    <s v="Delta Sport"/>
    <s v="19"/>
    <s v="15"/>
    <x v="4"/>
    <m/>
  </r>
  <r>
    <s v="513957"/>
    <s v="513957-BCN-1"/>
    <n v="2510"/>
    <s v="Spaten mit Wurzelsäge / Schaufel mit Wellenschliff, 2 fach sort."/>
    <n v="7"/>
    <s v="19/26"/>
    <s v="18/26"/>
    <s v="Delta Sport"/>
    <s v="19"/>
    <s v="18"/>
    <x v="1"/>
    <m/>
  </r>
  <r>
    <s v="513957"/>
    <s v="513957-KOP-1"/>
    <n v="2510"/>
    <s v="Spaten mit Wurzelsäge / Schaufel mit Wellenschliff, 2 fach sort."/>
    <n v="11"/>
    <s v="19/26"/>
    <s v="18/26"/>
    <s v="Delta Sport"/>
    <s v="19"/>
    <s v="18"/>
    <x v="1"/>
    <m/>
  </r>
  <r>
    <s v="513957"/>
    <s v="513957-RTM-1"/>
    <n v="2510"/>
    <s v="Spaten mit Wurzelsäge / Schaufel mit Wellenschliff, 2 fach sort."/>
    <n v="17"/>
    <s v="19/26"/>
    <s v="18/26"/>
    <s v="Delta Sport"/>
    <s v="19"/>
    <s v="18"/>
    <x v="1"/>
    <m/>
  </r>
  <r>
    <s v="515409"/>
    <s v="515409-RTM-2"/>
    <n v="2510"/>
    <s v="Betttablett Bambus FSC, 1 fach sort."/>
    <n v="8"/>
    <s v="19/26"/>
    <s v="17/26"/>
    <s v="Delta Sport"/>
    <s v="19"/>
    <s v="17"/>
    <x v="0"/>
    <m/>
  </r>
  <r>
    <s v="518249"/>
    <s v="518249-KOP-2"/>
    <n v="2510"/>
    <s v="Gartenhocker auf Rädern mit Staufach 21″ 130kg GRS"/>
    <n v="2"/>
    <s v="19/26"/>
    <s v="18/26"/>
    <s v="Delta Sport"/>
    <s v="19"/>
    <s v="18"/>
    <x v="1"/>
    <m/>
  </r>
  <r>
    <s v="519275"/>
    <s v="519275-RTM-5"/>
    <n v="2510"/>
    <s v="Badminton Set Family KAT"/>
    <n v="9"/>
    <s v="19/26"/>
    <s v="15/26"/>
    <s v="Delta Sport"/>
    <s v="19"/>
    <s v="15"/>
    <x v="4"/>
    <m/>
  </r>
  <r>
    <s v="520425"/>
    <s v="520425-KOP-4"/>
    <n v="2510"/>
    <s v="Gartensäge KAT Astsäge 31cm"/>
    <n v="2"/>
    <s v="19/26"/>
    <s v="18/26"/>
    <s v="Delta Sport"/>
    <s v="19"/>
    <s v="18"/>
    <x v="1"/>
    <m/>
  </r>
  <r>
    <s v="520432"/>
    <s v="520432-KOP-4"/>
    <n v="2510"/>
    <s v="Gartensäge KAT Astsäge 20cm klappbar"/>
    <n v="1"/>
    <s v="19/26"/>
    <s v="18/26"/>
    <s v="Delta Sport"/>
    <s v="19"/>
    <s v="18"/>
    <x v="1"/>
    <m/>
  </r>
  <r>
    <s v="525271"/>
    <s v="525271-RTM-5"/>
    <n v="2504"/>
    <s v="Bambus Bad Kleinmöbel FSC Good, 2 fach sort."/>
    <n v="3"/>
    <s v="19/26"/>
    <s v="15/26"/>
    <s v="Delta Sport"/>
    <s v="19"/>
    <s v="15"/>
    <x v="4"/>
    <m/>
  </r>
  <r>
    <s v="500553"/>
    <s v="500553-BCN-3"/>
    <n v="2510"/>
    <s v="Trekking-Stöcke teleskopierbar 2er KAT, 2 fach sort."/>
    <n v="4"/>
    <s v="20/26"/>
    <s v="20/26"/>
    <s v="Delta Sport"/>
    <s v="20"/>
    <s v="20"/>
    <x v="2"/>
    <m/>
  </r>
  <r>
    <s v="500553"/>
    <s v="500553-KOP-3"/>
    <n v="2510"/>
    <s v="Trekking-Stöcke teleskopierbar 2er KAT, 2 fach sort."/>
    <n v="2"/>
    <s v="20/26"/>
    <s v="20/26"/>
    <s v="Delta Sport"/>
    <s v="20"/>
    <s v="20"/>
    <x v="2"/>
    <m/>
  </r>
  <r>
    <s v="500553"/>
    <s v="500553-RTM-4"/>
    <n v="2510"/>
    <s v="Trekking-Stöcke teleskopierbar 2er KAT, 2 fach sort."/>
    <n v="14"/>
    <s v="20/26"/>
    <s v="20/26"/>
    <s v="Delta Sport"/>
    <s v="20"/>
    <s v="20"/>
    <x v="2"/>
    <m/>
  </r>
  <r>
    <s v="528862"/>
    <s v="528862-RTM-2"/>
    <n v="2507"/>
    <s v="Aufbewahrungsbox Design mit Deckel 32l KAT"/>
    <n v="2"/>
    <s v="20/26"/>
    <s v="16/26"/>
    <s v="Delta Sport"/>
    <s v="20"/>
    <s v="16"/>
    <x v="4"/>
    <m/>
  </r>
  <r>
    <s v="532064"/>
    <s v="532064-RTM-2"/>
    <n v="2507"/>
    <s v="Aufbewahrungsbox Design mit Deckel 2er Set 5l OS only KAT"/>
    <n v="1"/>
    <s v="20/26"/>
    <s v="16/26"/>
    <s v="Delta Sport"/>
    <s v="20"/>
    <s v="16"/>
    <x v="4"/>
    <m/>
  </r>
  <r>
    <s v="532065"/>
    <s v="532065-RTM-2"/>
    <n v="2507"/>
    <s v="Aufbewahrungsbox Design mit Deckel 11l 2er Set OS only KAT"/>
    <n v="2"/>
    <s v="20/26"/>
    <s v="16/26"/>
    <s v="Delta Sport"/>
    <s v="20"/>
    <s v="16"/>
    <x v="4"/>
    <m/>
  </r>
  <r>
    <s v="500553"/>
    <s v="500553-KOP-4"/>
    <n v="2510"/>
    <s v="Trekking-Stöcke teleskopierbar 2er KAT, 2 fach sort."/>
    <n v="2"/>
    <s v="21/26"/>
    <s v="21/26"/>
    <s v="Delta Sport"/>
    <s v="21"/>
    <s v="21"/>
    <x v="2"/>
    <m/>
  </r>
  <r>
    <s v="500553"/>
    <s v="500553-RTM-5"/>
    <n v="2510"/>
    <s v="Trekking-Stöcke teleskopierbar 2er KAT, 2 fach sort."/>
    <n v="6"/>
    <s v="21/26"/>
    <s v="21/26"/>
    <s v="Delta Sport"/>
    <s v="21"/>
    <s v="21"/>
    <x v="2"/>
    <m/>
  </r>
  <r>
    <s v="513957"/>
    <s v="513957-KOP-2"/>
    <n v="2510"/>
    <s v="Spaten mit Wurzelsäge / Schaufel mit Wellenschliff, 2 fach sort."/>
    <n v="2"/>
    <s v="21/26"/>
    <s v="19/26"/>
    <s v="Delta Sport"/>
    <s v="21"/>
    <s v="19"/>
    <x v="0"/>
    <m/>
  </r>
  <r>
    <s v="494264"/>
    <s v="494264-RTM-4"/>
    <n v="2504"/>
    <s v="Beistelltisch San Diego 2er Industrial FSC Good"/>
    <n v="2"/>
    <s v="22/26"/>
    <s v="18/26"/>
    <s v="Delta Sport"/>
    <s v="22"/>
    <s v="18"/>
    <x v="4"/>
    <m/>
  </r>
  <r>
    <s v="516623"/>
    <s v="516623-RTM-1"/>
    <n v="2510"/>
    <s v="Aufschnitt-Boxen 4er Set"/>
    <n v="5"/>
    <s v="23/26"/>
    <s v="19/26"/>
    <s v="Delta Sport"/>
    <s v="23"/>
    <s v="19"/>
    <x v="4"/>
    <m/>
  </r>
  <r>
    <s v="500553"/>
    <s v="500553-BCN-4"/>
    <n v="2510"/>
    <s v="Trekking-Stöcke teleskopierbar 2er KAT, 2 fach sort."/>
    <n v="4"/>
    <s v="25/26"/>
    <s v="25/26"/>
    <s v="Delta Sport"/>
    <s v="25"/>
    <s v="25"/>
    <x v="2"/>
    <m/>
  </r>
  <r>
    <s v="512396"/>
    <s v="512396-RTM-5"/>
    <n v="2510"/>
    <s v="Sporttasche / Sportrucksack Good KAT, 3 fach sort."/>
    <n v="4"/>
    <s v="25/26"/>
    <s v="21/26"/>
    <s v="Delta Sport"/>
    <s v="25"/>
    <s v="21"/>
    <x v="4"/>
    <m/>
  </r>
  <r>
    <s v="516623"/>
    <s v="516623-RTM-4"/>
    <n v="2510"/>
    <s v="Aufschnitt-Boxen 4er Set"/>
    <n v="2"/>
    <s v="25/26"/>
    <s v="21/26"/>
    <s v="Delta Sport"/>
    <s v="25"/>
    <s v="21"/>
    <x v="4"/>
    <m/>
  </r>
  <r>
    <s v="516549"/>
    <s v="516549-RTM-1"/>
    <n v="2510"/>
    <s v="Perlensortiment KAT, 2 fach sort."/>
    <n v="1"/>
    <s v="18/26"/>
    <s v="17/26"/>
    <s v="Delta Sport"/>
    <s v="18"/>
    <s v="17"/>
    <x v="1"/>
    <m/>
  </r>
  <r>
    <s v="516549"/>
    <s v="516549-BCN-1"/>
    <n v="2510"/>
    <s v="Perlensortiment KAT, 2 fach sort."/>
    <n v="1"/>
    <s v="19/26"/>
    <s v="17/26"/>
    <s v="Delta Sport"/>
    <s v="19"/>
    <s v="17"/>
    <x v="0"/>
    <m/>
  </r>
  <r>
    <s v="518949"/>
    <s v="518949-RTM-3"/>
    <n v="2510"/>
    <s v="Vorratsdosen mit Klickverschluss und Schüttklappe PP-R Pastell 8er Set"/>
    <n v="6"/>
    <s v="30/26"/>
    <s v="26/26"/>
    <s v="Delta Sport"/>
    <s v="30"/>
    <s v="26"/>
    <x v="4"/>
    <m/>
  </r>
  <r>
    <s v="516549"/>
    <s v="516549-KOP-1"/>
    <n v="2510"/>
    <s v="Perlensortiment KAT, 2 fach sort."/>
    <n v="2"/>
    <s v="19/26"/>
    <s v="17/26"/>
    <s v="Delta Sport"/>
    <s v="19"/>
    <s v="17"/>
    <x v="0"/>
    <m/>
  </r>
  <r>
    <s v="540509"/>
    <s v="540509-BCN-1"/>
    <n v="2510"/>
    <s v="Thekendisplay Tiny Friends Flauschige Mini Notizbücher,  6 fach sort."/>
    <n v="1"/>
    <s v="20/26"/>
    <s v="16/26"/>
    <s v="Delta Sport"/>
    <s v="20"/>
    <s v="16"/>
    <x v="4"/>
    <m/>
  </r>
  <r>
    <s v="517522"/>
    <s v="517522-RTM-1"/>
    <n v="2510"/>
    <s v="H Sicherheitsschuh S3 LDR/PES KAT"/>
    <n v="11"/>
    <s v="22/26"/>
    <s v="16/26"/>
    <s v="BEVAFORM"/>
    <s v="22"/>
    <s v="16"/>
    <x v="5"/>
    <m/>
  </r>
  <r>
    <s v="515607"/>
    <s v="515607-RTM-1"/>
    <n v="2510"/>
    <s v="H Badepantolette Plateau EVA VA"/>
    <n v="10"/>
    <s v="23/26"/>
    <s v="20/26"/>
    <s v="BEVAFORM"/>
    <s v="23"/>
    <s v="20"/>
    <x v="3"/>
    <m/>
  </r>
  <r>
    <s v="515607"/>
    <s v="515607-KOP-1"/>
    <n v="2510"/>
    <s v="H Badepantolette Plateau EVA VA"/>
    <n v="4"/>
    <s v="21/26"/>
    <s v="19/26"/>
    <s v="BEVAFORM"/>
    <s v="21"/>
    <s v="19"/>
    <x v="0"/>
    <m/>
  </r>
  <r>
    <s v="515608"/>
    <s v="515608-RTM-1"/>
    <n v="2510"/>
    <s v="D Badepantolette Plateau EVA VA"/>
    <n v="10"/>
    <s v="23/26"/>
    <s v="20/26"/>
    <s v="BEVAFORM"/>
    <s v="23"/>
    <s v="20"/>
    <x v="3"/>
    <m/>
  </r>
  <r>
    <s v="515608"/>
    <s v="515608-KOP-1"/>
    <n v="2510"/>
    <s v="D Badepantolette Plateau EVA VA"/>
    <n v="4"/>
    <s v="21/26"/>
    <s v="19/26"/>
    <s v="BEVAFORM"/>
    <s v="21"/>
    <s v="19"/>
    <x v="0"/>
    <m/>
  </r>
  <r>
    <s v="519692"/>
    <s v="519692-KOP-1"/>
    <n v="2510"/>
    <s v="H Sicherheitsschuh S3 30 Jahre PES Best"/>
    <n v="12"/>
    <s v="21/26"/>
    <s v="20/26"/>
    <s v="BEVAFORM"/>
    <s v="21"/>
    <s v="20"/>
    <x v="1"/>
    <m/>
  </r>
  <r>
    <s v="519692"/>
    <s v="519692-RTM-1"/>
    <n v="2510"/>
    <s v="H Sicherheitsschuh S3 30 Jahre PES Best"/>
    <n v="5"/>
    <s v="21/26"/>
    <s v="20/26"/>
    <s v="BEVAFORM"/>
    <s v="21"/>
    <s v="20"/>
    <x v="1"/>
    <m/>
  </r>
  <r>
    <s v="515668"/>
    <s v="515668-RTM-1"/>
    <n v="2510"/>
    <s v="H Sicherheitsschuh S1 LDR"/>
    <n v="4"/>
    <s v="23/26"/>
    <s v="22/26"/>
    <s v="BEVAFORM"/>
    <s v="23"/>
    <s v="22"/>
    <x v="1"/>
    <m/>
  </r>
  <r>
    <s v="515668"/>
    <s v="515668-RTM-2"/>
    <n v="2510"/>
    <s v="H Sicherheitsschuh S1 LDR"/>
    <n v="4"/>
    <s v="22/26"/>
    <s v="20/26"/>
    <s v="BEVAFORM"/>
    <s v="22"/>
    <s v="20"/>
    <x v="0"/>
    <m/>
  </r>
  <r>
    <s v="515668"/>
    <s v="515668-KOP-1"/>
    <n v="2510"/>
    <s v="H Sicherheitsschuh S1 LDR"/>
    <n v="3"/>
    <s v="22/26"/>
    <s v="21/26"/>
    <s v="BEVAFORM"/>
    <s v="22"/>
    <s v="21"/>
    <x v="1"/>
    <m/>
  </r>
  <r>
    <s v="515668"/>
    <s v="515668-KOP-2"/>
    <n v="2510"/>
    <s v="H Sicherheitsschuh S1 LDR"/>
    <n v="2"/>
    <s v="23/26"/>
    <s v="21/26"/>
    <s v="BEVAFORM"/>
    <s v="23"/>
    <s v="21"/>
    <x v="0"/>
    <m/>
  </r>
  <r>
    <s v="540521"/>
    <s v="540521-RTM-1"/>
    <n v="2510"/>
    <s v="D Trekkingstiefel GRS KAT"/>
    <n v="42"/>
    <s v="20/26"/>
    <s v="20/26"/>
    <s v="BEVAFORM"/>
    <s v="20"/>
    <s v="20"/>
    <x v="2"/>
    <m/>
  </r>
  <r>
    <s v="540521"/>
    <s v="540521-KOP-1"/>
    <n v="2510"/>
    <s v="D Trekkingstiefel GRS KAT"/>
    <n v="7"/>
    <s v="20/26"/>
    <s v="20/26"/>
    <s v="BEVAFORM"/>
    <s v="20"/>
    <s v="20"/>
    <x v="2"/>
    <m/>
  </r>
  <r>
    <s v="540521"/>
    <s v="540521-RTM-2"/>
    <n v="2510"/>
    <s v="D Trekkingstiefel GRS KAT"/>
    <n v="2"/>
    <s v="21/26"/>
    <s v="20/26"/>
    <s v="BEVAFORM"/>
    <s v="21"/>
    <s v="20"/>
    <x v="1"/>
    <m/>
  </r>
  <r>
    <s v="540521"/>
    <s v="540521-KOP-2"/>
    <n v="2510"/>
    <s v="D Trekkingstiefel GRS KAT"/>
    <n v="10"/>
    <s v="21/26"/>
    <s v="20/26"/>
    <s v="BEVAFORM"/>
    <s v="21"/>
    <s v="20"/>
    <x v="1"/>
    <m/>
  </r>
  <r>
    <s v="540521"/>
    <s v="540521-BCN-2"/>
    <n v="2510"/>
    <s v="D Trekkingstiefel GRS KAT"/>
    <n v="2"/>
    <s v="21/26"/>
    <s v="20/26"/>
    <s v="BEVAFORM"/>
    <s v="21"/>
    <s v="20"/>
    <x v="1"/>
    <m/>
  </r>
  <r>
    <s v="540521"/>
    <s v="540521-BCN-1"/>
    <n v="2510"/>
    <s v="D Trekkingstiefel GRS KAT"/>
    <n v="10"/>
    <s v="25/26"/>
    <s v="23/26"/>
    <s v="BEVAFORM"/>
    <s v="25"/>
    <s v="23"/>
    <x v="0"/>
    <m/>
  </r>
  <r>
    <s v="540521"/>
    <s v="540521-KOP-3"/>
    <n v="2510"/>
    <s v="D Trekkingstiefel GRS KAT"/>
    <n v="8"/>
    <s v="25/26"/>
    <s v="23/26"/>
    <s v="BEVAFORM"/>
    <s v="25"/>
    <s v="23"/>
    <x v="0"/>
    <m/>
  </r>
  <r>
    <s v="540522"/>
    <s v="540522-RTM-1"/>
    <n v="2510"/>
    <s v="H Trekkingstiefel GRS KAT"/>
    <n v="60"/>
    <s v="20/26"/>
    <s v="20/26"/>
    <s v="BEVAFORM"/>
    <s v="20"/>
    <s v="20"/>
    <x v="2"/>
    <m/>
  </r>
  <r>
    <s v="540522"/>
    <s v="540522-KOP-1"/>
    <n v="2510"/>
    <s v="H Trekkingstiefel GRS KAT"/>
    <n v="10"/>
    <s v="20/26"/>
    <s v="20/26"/>
    <s v="BEVAFORM"/>
    <s v="20"/>
    <s v="20"/>
    <x v="2"/>
    <m/>
  </r>
  <r>
    <s v="540522"/>
    <s v="540522-RTM-2"/>
    <n v="2510"/>
    <s v="H Trekkingstiefel GRS KAT"/>
    <n v="3"/>
    <s v="21/26"/>
    <s v="20/26"/>
    <s v="BEVAFORM"/>
    <s v="21"/>
    <s v="20"/>
    <x v="1"/>
    <m/>
  </r>
  <r>
    <s v="540522"/>
    <s v="540522-KOP-2"/>
    <n v="2510"/>
    <s v="H Trekkingstiefel GRS KAT"/>
    <n v="22"/>
    <s v="21/26"/>
    <s v="20/26"/>
    <s v="BEVAFORM"/>
    <s v="21"/>
    <s v="20"/>
    <x v="1"/>
    <m/>
  </r>
  <r>
    <s v="540522"/>
    <s v="540522-BCN-1"/>
    <n v="2510"/>
    <s v="H Trekkingstiefel GRS KAT"/>
    <n v="25"/>
    <s v="25/26"/>
    <s v="23/26"/>
    <s v="BEVAFORM"/>
    <s v="25"/>
    <s v="23"/>
    <x v="0"/>
    <m/>
  </r>
  <r>
    <s v="540522"/>
    <s v="540522-KOP-3"/>
    <n v="2510"/>
    <s v="H Trekkingstiefel GRS KAT"/>
    <n v="12"/>
    <s v="25/26"/>
    <s v="23/26"/>
    <s v="BEVAFORM"/>
    <s v="25"/>
    <s v="23"/>
    <x v="0"/>
    <m/>
  </r>
  <r>
    <s v="518805"/>
    <s v="518805-BCN-1"/>
    <n v="2510"/>
    <s v="H Laufschuh GRS Mesh PES BEST KAT"/>
    <n v="8"/>
    <s v="20/26"/>
    <s v="18/26"/>
    <s v="BEVAFORM"/>
    <s v="20"/>
    <s v="18"/>
    <x v="0"/>
    <m/>
  </r>
  <r>
    <s v="518807"/>
    <s v="518807-BCN-1"/>
    <n v="2510"/>
    <s v="D Laufschuh GRS Mesh PES BEST KAT"/>
    <n v="6"/>
    <s v="20/26"/>
    <s v="18/26"/>
    <s v="BEVAFORM"/>
    <s v="20"/>
    <s v="18"/>
    <x v="0"/>
    <m/>
  </r>
  <r>
    <s v="516018"/>
    <s v="516018-RTM-1"/>
    <n v="2510"/>
    <s v="D Regenstiefelette Chelsea NR"/>
    <n v="2"/>
    <s v="21/26"/>
    <s v="19/26"/>
    <s v="BEVAFORM"/>
    <s v="21"/>
    <s v="19"/>
    <x v="0"/>
    <m/>
  </r>
  <r>
    <s v="516018"/>
    <s v="516018-RTM-2"/>
    <n v="2510"/>
    <s v="D Regenstiefelette Chelsea NR"/>
    <n v="2"/>
    <s v="23/26"/>
    <s v="19/26"/>
    <s v="BEVAFORM"/>
    <s v="23"/>
    <s v="19"/>
    <x v="4"/>
    <m/>
  </r>
  <r>
    <s v="516018"/>
    <s v="516018-KOP-1"/>
    <n v="2510"/>
    <s v="D Regenstiefelette Chelsea NR"/>
    <n v="3"/>
    <s v="23/26"/>
    <s v="19/26"/>
    <s v="BEVAFORM"/>
    <s v="23"/>
    <s v="19"/>
    <x v="4"/>
    <m/>
  </r>
  <r>
    <s v="507704"/>
    <s v="507704-BCN-4"/>
    <n v="2510"/>
    <s v="H Laufschuh PES GRS KAT"/>
    <n v="2"/>
    <s v="20/26"/>
    <s v="18/26"/>
    <s v="BEVAFORM"/>
    <s v="20"/>
    <s v="18"/>
    <x v="0"/>
    <m/>
  </r>
  <r>
    <s v="507704"/>
    <s v="507704-KOP-5"/>
    <n v="2510"/>
    <s v="H Laufschuh PES GRS KAT"/>
    <n v="4"/>
    <s v="20/26"/>
    <s v="18/26"/>
    <s v="BEVAFORM"/>
    <s v="20"/>
    <s v="18"/>
    <x v="0"/>
    <m/>
  </r>
  <r>
    <s v="507705"/>
    <s v="507705-BCN-4"/>
    <n v="2510"/>
    <s v="D Laufschuh PES GRS KAT"/>
    <n v="2"/>
    <s v="20/26"/>
    <s v="18/26"/>
    <s v="BEVAFORM"/>
    <s v="20"/>
    <s v="18"/>
    <x v="0"/>
    <m/>
  </r>
  <r>
    <s v="507705"/>
    <s v="507705-KOP-5"/>
    <n v="2510"/>
    <s v="D Laufschuh PES GRS KAT"/>
    <n v="4"/>
    <s v="20/26"/>
    <s v="18/26"/>
    <s v="BEVAFORM"/>
    <s v="20"/>
    <s v="18"/>
    <x v="0"/>
    <m/>
  </r>
  <r>
    <s v="507662"/>
    <s v="507662-RTM-3"/>
    <n v="2507"/>
    <s v="Metalframe Pool 300 x 76 inkl. Filterpumpe"/>
    <n v="2"/>
    <s v="19/26"/>
    <s v="14/26"/>
    <s v="Delta Sport "/>
    <s v="19"/>
    <s v="14"/>
    <x v="11"/>
    <m/>
  </r>
  <r>
    <s v="500552"/>
    <s v="500552-RTM-9"/>
    <n v="2510"/>
    <s v="Fahrrad Montageständer KAT"/>
    <n v="2"/>
    <s v="22/26"/>
    <s v="15/26"/>
    <s v="Delta Sport "/>
    <s v="22"/>
    <s v="15"/>
    <x v="6"/>
    <m/>
  </r>
  <r>
    <s v="515509"/>
    <s v="515509-RTM-2"/>
    <n v="2510"/>
    <s v="Regal 3 Böden MDF weiß FSC"/>
    <n v="2"/>
    <s v="24/26"/>
    <s v="15/26"/>
    <s v="Delta Sport "/>
    <s v="24"/>
    <s v="15"/>
    <x v="8"/>
    <m/>
  </r>
  <r>
    <s v="515862"/>
    <s v="515862-RTM-4"/>
    <n v="2510"/>
    <s v="Metallregal ausziehbar KAT"/>
    <n v="2"/>
    <s v="25/26"/>
    <s v="15/26"/>
    <s v="Delta Sport "/>
    <s v="25"/>
    <s v="15"/>
    <x v="14"/>
    <m/>
  </r>
  <r>
    <s v="540509"/>
    <s v="540509-KOP-1"/>
    <n v="2510"/>
    <s v="Thekendisplay Tiny Friends Flauschige Mini Notizbücher,  6 fach sort."/>
    <n v="1"/>
    <s v="20/26"/>
    <s v="15/26"/>
    <s v="Delta Sport "/>
    <s v="20"/>
    <s v="15"/>
    <x v="11"/>
    <m/>
  </r>
  <r>
    <s v="540509"/>
    <s v="540509-RTM-1"/>
    <n v="2510"/>
    <s v="Thekendisplay Tiny Friends Flauschige Mini Notizbücher,  6 fach sort."/>
    <n v="1"/>
    <s v="20/26"/>
    <s v="15/26"/>
    <s v="Delta Sport "/>
    <s v="20"/>
    <s v="15"/>
    <x v="11"/>
    <m/>
  </r>
  <r>
    <s v="525144"/>
    <s v="525144-RTM-2"/>
    <n v="2510"/>
    <s v="Doppelseitiger-Organizer KAT"/>
    <n v="2"/>
    <s v="29/26"/>
    <s v="20/26"/>
    <s v="Delta Sport "/>
    <s v="29"/>
    <s v="20"/>
    <x v="8"/>
    <m/>
  </r>
  <r>
    <s v="532224"/>
    <s v="532224-KOP-1"/>
    <n v="2510"/>
    <s v="H Jacke Strickfleece GRS PES 2fach sort."/>
    <n v="3"/>
    <s v="23/26"/>
    <s v="19/26"/>
    <s v="JURITEX"/>
    <s v="23"/>
    <s v="19"/>
    <x v="4"/>
    <m/>
  </r>
  <r>
    <s v="532224"/>
    <s v="532224-RTM-1"/>
    <n v="2510"/>
    <s v="H Jacke Strickfleece GRS PES 2fach sort."/>
    <n v="12"/>
    <s v="22/26"/>
    <s v="19/26"/>
    <s v="JURITEX"/>
    <s v="22"/>
    <s v="19"/>
    <x v="3"/>
    <m/>
  </r>
  <r>
    <s v="532224"/>
    <s v="532224-RTM-2"/>
    <n v="2510"/>
    <s v="H Jacke Strickfleece GRS PES 2fach sort."/>
    <n v="2"/>
    <s v="23/26"/>
    <s v="19/26"/>
    <s v="JURITEX"/>
    <s v="23"/>
    <s v="19"/>
    <x v="4"/>
    <m/>
  </r>
  <r>
    <s v="515403"/>
    <s v="515403-KOP-1"/>
    <n v="2510"/>
    <s v="Spannbettlaken Bi-Elastic Jersey Boxspring 140-160x200x10cm CO Best VA 3fach sort."/>
    <n v="2"/>
    <s v="24/26"/>
    <s v="18/26"/>
    <s v="Lomotex"/>
    <s v="24"/>
    <s v="18"/>
    <x v="5"/>
    <m/>
  </r>
  <r>
    <s v="515400"/>
    <s v="515400-KOP-1"/>
    <n v="2510"/>
    <s v="Spannbettlaken Bi-Elastic Jersey Boxspring 180-200x200x10cm CO Best VA 3fach sort."/>
    <n v="2"/>
    <s v="24/26"/>
    <s v="18/26"/>
    <s v="Lomotex"/>
    <s v="24"/>
    <s v="18"/>
    <x v="5"/>
    <m/>
  </r>
  <r>
    <s v="515770"/>
    <s v="515770-RTM-1"/>
    <n v="2510"/>
    <s v="Baby Activity Center KAT, 2 fach sort."/>
    <n v="14"/>
    <s v="24/26"/>
    <s v="20/26"/>
    <s v="Delta Sport "/>
    <s v="24"/>
    <s v="20"/>
    <x v="4"/>
    <m/>
  </r>
  <r>
    <s v="515771"/>
    <s v="515771-RTM-1"/>
    <n v="2510"/>
    <s v="Baby Plüsch Spielzeug KAT, 5 fach sort."/>
    <n v="4"/>
    <s v="24/26"/>
    <s v="20/26"/>
    <s v="Delta Sport "/>
    <s v="24"/>
    <s v="20"/>
    <x v="4"/>
    <m/>
  </r>
  <r>
    <s v="500528"/>
    <s v="500528-RTM-6"/>
    <n v="2510"/>
    <s v="Magnetbox Alphabet, Zahlen, Motive FSC Mix KAT"/>
    <n v="1"/>
    <s v="19/26"/>
    <s v="19/26"/>
    <s v="Delta Sport "/>
    <s v="19"/>
    <s v="19"/>
    <x v="2"/>
    <m/>
  </r>
  <r>
    <s v="500528"/>
    <s v="500528-KOP-4"/>
    <n v="2510"/>
    <s v="Magnetbox Alphabet, Zahlen, Motive FSC Mix KAT"/>
    <n v="1"/>
    <s v="20/26"/>
    <s v="19/26"/>
    <s v="Delta Sport "/>
    <s v="20"/>
    <s v="19"/>
    <x v="1"/>
    <m/>
  </r>
  <r>
    <s v="517374"/>
    <s v="517374-RTM-1"/>
    <n v="2510"/>
    <s v="Einkaufstrolley faltbar KAT"/>
    <n v="14"/>
    <s v="23/26"/>
    <s v="16/26"/>
    <s v="TARGA"/>
    <s v="23"/>
    <s v="16"/>
    <x v="6"/>
    <m/>
  </r>
  <r>
    <s v="515465"/>
    <s v="515465-KOP-3"/>
    <n v="2510"/>
    <s v="Schreibtisch Schüler höhenverstellbar FSC KAT"/>
    <n v="1"/>
    <s v="22/26"/>
    <s v="21/26"/>
    <s v="Delta Sport "/>
    <s v="22"/>
    <s v="21"/>
    <x v="1"/>
    <m/>
  </r>
  <r>
    <s v="514140"/>
    <s v="514140-KOP-1"/>
    <n v="2510"/>
    <s v="Hocker mit Staufach FSC, 2 fach sort."/>
    <n v="4"/>
    <s v="23/26"/>
    <s v="20/26"/>
    <s v="Delta Sport "/>
    <s v="23"/>
    <s v="20"/>
    <x v="3"/>
    <m/>
  </r>
  <r>
    <s v="515511"/>
    <s v="515511-KOP-2"/>
    <n v="2510"/>
    <s v="Garderobenständer Metall, 2 fach sort."/>
    <n v="1"/>
    <s v="24/26"/>
    <s v="23/26"/>
    <s v="Delta Sport "/>
    <s v="24"/>
    <s v="23"/>
    <x v="1"/>
    <m/>
  </r>
  <r>
    <s v="544948"/>
    <s v="544948-RTM-3"/>
    <n v="2510"/>
    <s v="Handtuchhalter Regal Bambus"/>
    <n v="2"/>
    <s v="26/26"/>
    <s v="24/26"/>
    <s v="Delta Sport "/>
    <s v="26"/>
    <s v="24"/>
    <x v="0"/>
    <m/>
  </r>
  <r>
    <s v="515465"/>
    <s v="515465-RTM-2"/>
    <n v="2510"/>
    <s v="Schreibtisch Schüler höhenverstellbar FSC KAT"/>
    <n v="2"/>
    <s v="29/26"/>
    <s v="27/26"/>
    <s v="Delta Sport "/>
    <s v="29"/>
    <s v="27"/>
    <x v="0"/>
    <m/>
  </r>
  <r>
    <s v="495955"/>
    <s v="495955-RTM-4"/>
    <n v="2510"/>
    <s v="Gartensack 275l / 125l Set 2tlg. 150g/m² GRS KAT, 2 fach sort."/>
    <n v="18"/>
    <s v="19/26"/>
    <s v="18/26"/>
    <s v="Delta Sport "/>
    <s v="19"/>
    <s v="18"/>
    <x v="1"/>
    <m/>
  </r>
  <r>
    <s v="520365"/>
    <s v="520365-KOP-4"/>
    <n v="2510"/>
    <s v="Gartensack 275l / 125l Set 2tlg. 150g/m² GRS KAT rund faltbar 275 l"/>
    <n v="2"/>
    <s v="19/26"/>
    <s v="18/26"/>
    <s v="Delta Sport "/>
    <s v="19"/>
    <s v="18"/>
    <x v="1"/>
    <m/>
  </r>
  <r>
    <s v="520374"/>
    <s v="520374-KOP-4"/>
    <n v="2510"/>
    <s v="Gartensack 275l / 125l Set 2tlg. 150g/m² GRS KAT rund faltbar 125l Set 2tlg"/>
    <n v="2"/>
    <s v="19/26"/>
    <s v="18/26"/>
    <s v="Delta Sport "/>
    <s v="19"/>
    <s v="18"/>
    <x v="1"/>
    <m/>
  </r>
  <r>
    <s v="525154"/>
    <s v="525154-KOP-4"/>
    <n v="2510"/>
    <s v="Abdeckplane 2x3m Set 2tlg. / 3x4m 100g/m² GRS KAT. 2 fach sort."/>
    <n v="6"/>
    <s v="19/26"/>
    <s v="18/26"/>
    <s v="Delta Sport "/>
    <s v="19"/>
    <s v="18"/>
    <x v="1"/>
    <m/>
  </r>
  <r>
    <s v="525154"/>
    <s v="525154-RTM-6"/>
    <n v="2510"/>
    <s v="Abdeckplane 2x3m Set 2tlg. / 3x4m 100g/m² GRS KAT. 2 fach sort."/>
    <n v="3"/>
    <s v="19/26"/>
    <s v="18/26"/>
    <s v="Delta Sport "/>
    <s v="19"/>
    <s v="18"/>
    <x v="1"/>
    <m/>
  </r>
  <r>
    <s v="525154"/>
    <s v="525154-KOP-6"/>
    <n v="2510"/>
    <s v="Abdeckplane 2x3m Set 2tlg. / 3x4m 100g/m² GRS KAT. 2 fach sort."/>
    <n v="4"/>
    <s v="20/26"/>
    <s v="19/26"/>
    <s v="Delta Sport "/>
    <s v="20"/>
    <s v="19"/>
    <x v="1"/>
    <m/>
  </r>
  <r>
    <s v="525154"/>
    <s v="525154-RTM-7"/>
    <n v="2510"/>
    <s v="Abdeckplane 2x3m Set 2tlg. / 3x4m 100g/m² GRS KAT. 2 fach sort."/>
    <n v="1"/>
    <s v="20/26"/>
    <s v="19/26"/>
    <s v="Delta Sport "/>
    <s v="20"/>
    <s v="19"/>
    <x v="1"/>
    <m/>
  </r>
  <r>
    <s v="495957"/>
    <s v="495957-KOP-5"/>
    <n v="2510"/>
    <s v="Gartensäge KAT, 2 fach sort."/>
    <n v="1"/>
    <s v="21/26"/>
    <s v="20/26"/>
    <s v="Delta Sport "/>
    <s v="21"/>
    <s v="20"/>
    <x v="1"/>
    <m/>
  </r>
  <r>
    <s v="493738"/>
    <s v="493738-RTM-3"/>
    <n v="2510"/>
    <s v="Go Kart"/>
    <n v="1"/>
    <s v="22/26"/>
    <s v="22/26"/>
    <s v="Delta Sport "/>
    <s v="22"/>
    <s v="22"/>
    <x v="2"/>
    <m/>
  </r>
  <r>
    <s v="525154"/>
    <s v="525154-RTM-9"/>
    <n v="2510"/>
    <s v="Abdeckplane 2x3m Set 2tlg. / 3x4m 100g/m² GRS KAT. 2 fach sort."/>
    <n v="8"/>
    <s v="25/26"/>
    <s v="24/26"/>
    <s v="Delta Sport "/>
    <s v="25"/>
    <s v="24"/>
    <x v="1"/>
    <m/>
  </r>
  <r>
    <s v="525154"/>
    <s v="525154-RTM-10"/>
    <n v="2510"/>
    <s v="Abdeckplane 2x3m Set 2tlg. / 3x4m 100g/m² GRS KAT. 2 fach sort."/>
    <n v="6"/>
    <s v="27/26"/>
    <s v="26/26"/>
    <s v="Delta Sport "/>
    <s v="27"/>
    <s v="26"/>
    <x v="1"/>
    <m/>
  </r>
  <r>
    <s v="483902"/>
    <s v="483902-KOP-4"/>
    <n v="2510"/>
    <s v="Painting Case with Paints Premium FSC KAT"/>
    <n v="1"/>
    <s v="22/26"/>
    <s v="22/26"/>
    <s v="LKASIA"/>
    <s v="22"/>
    <s v="22"/>
    <x v="2"/>
    <m/>
  </r>
  <r>
    <s v="487907"/>
    <s v="487907-KOP-6"/>
    <n v="2510"/>
    <s v="Canvas FSC KAT"/>
    <n v="4"/>
    <s v="20/26"/>
    <s v="19/26"/>
    <s v="LKASIA"/>
    <s v="20"/>
    <s v="19"/>
    <x v="1"/>
    <m/>
  </r>
  <r>
    <s v="487907"/>
    <s v="487907-ANR-3"/>
    <n v="2510"/>
    <s v="Canvas FSC KAT"/>
    <n v="22"/>
    <s v="20/26"/>
    <s v="19/26"/>
    <s v="LKASIA"/>
    <s v="20"/>
    <s v="19"/>
    <x v="1"/>
    <m/>
  </r>
  <r>
    <s v="487907"/>
    <s v="487907-KOP-5"/>
    <n v="2510"/>
    <s v="Canvas FSC KAT"/>
    <n v="6"/>
    <s v="20/26"/>
    <s v="19/26"/>
    <s v="LKASIA"/>
    <s v="20"/>
    <s v="19"/>
    <x v="1"/>
    <m/>
  </r>
  <r>
    <s v="487907"/>
    <s v="487907-RTM-5"/>
    <n v="2510"/>
    <s v="Canvas FSC KAT"/>
    <n v="4"/>
    <s v="20/26"/>
    <s v="19/26"/>
    <s v="LKASIA"/>
    <s v="20"/>
    <s v="19"/>
    <x v="1"/>
    <m/>
  </r>
  <r>
    <s v="514889"/>
    <s v="514889-KOP-1"/>
    <n v="2510"/>
    <s v="Pin and Peg Board KAT, 2 assorted."/>
    <n v="1"/>
    <s v="22/26"/>
    <s v="21/26"/>
    <s v="LKASIA"/>
    <s v="22"/>
    <s v="21"/>
    <x v="1"/>
    <m/>
  </r>
  <r>
    <s v="514890"/>
    <s v="514890-KOP-1"/>
    <n v="2510"/>
    <s v="Canvases FSC Canvases, set of 4 (20 x 20 cm)"/>
    <n v="1"/>
    <s v="22/26"/>
    <s v="19/26"/>
    <s v="LKASIA"/>
    <s v="22"/>
    <s v="19"/>
    <x v="3"/>
    <m/>
  </r>
  <r>
    <s v="514890"/>
    <s v="514890-KOP-1"/>
    <n v="2510"/>
    <s v="Canvases FSC Canvases, set of 2 (40 x 40 cm)"/>
    <n v="1"/>
    <s v="22/26"/>
    <s v="19/26"/>
    <s v="LKASIA"/>
    <s v="22"/>
    <s v="19"/>
    <x v="3"/>
    <m/>
  </r>
  <r>
    <s v="514891"/>
    <s v="514891-KOP-1"/>
    <n v="2510"/>
    <s v="Canvases FSC Canvases, set of 1 (50 x 70 cm)"/>
    <n v="1"/>
    <s v="22/26"/>
    <s v="19/26"/>
    <s v="LKASIA"/>
    <s v="22"/>
    <s v="19"/>
    <x v="3"/>
    <m/>
  </r>
  <r>
    <s v="517016"/>
    <s v="517016-KOP-1"/>
    <n v="2510"/>
    <s v="Baby Girls Boys Set 2pcs (Sweat Pullover +Trousers) GOTS 2 pcs Pure Collection CO , 3 assorted."/>
    <n v="1"/>
    <s v="21/26"/>
    <s v="19/26"/>
    <s v="LKASIA"/>
    <s v="21"/>
    <s v="19"/>
    <x v="0"/>
    <m/>
  </r>
  <r>
    <s v="517016"/>
    <s v="517016-RTM-1"/>
    <n v="2510"/>
    <s v="Baby Girls Boys Set 2pcs (Sweat Pullover +Trousers) GOTS 2 pcs Pure Collection CO , 3 assorted."/>
    <n v="1"/>
    <s v="21/26"/>
    <s v="19/26"/>
    <s v="LKASIA"/>
    <s v="21"/>
    <s v="19"/>
    <x v="0"/>
    <m/>
  </r>
  <r>
    <s v="519895"/>
    <s v="519895-KOP-3"/>
    <n v="2510"/>
    <s v="Painting case 82 pcs. KAT"/>
    <n v="1"/>
    <s v="22/26"/>
    <s v="21/26"/>
    <s v="LKASIA"/>
    <s v="22"/>
    <s v="21"/>
    <x v="1"/>
    <m/>
  </r>
  <r>
    <s v="519895"/>
    <s v="519895-RTM-3"/>
    <n v="2510"/>
    <s v="Painting case 82 pcs. KAT"/>
    <n v="1"/>
    <s v="22/26"/>
    <s v="21/26"/>
    <s v="LKASIA"/>
    <s v="22"/>
    <s v="21"/>
    <x v="1"/>
    <m/>
  </r>
  <r>
    <s v="540463"/>
    <s v="540463-ANR-1"/>
    <n v="2510"/>
    <s v="Twinmarker Dual-tip Fineliner and Brushliner XXL Set of 48 KAT"/>
    <n v="4"/>
    <s v="22/26"/>
    <s v="20/26"/>
    <s v="LKASIA"/>
    <s v="22"/>
    <s v="20"/>
    <x v="0"/>
    <m/>
  </r>
  <r>
    <s v="540463"/>
    <s v="540463-KOP-1"/>
    <n v="2510"/>
    <s v="Twinmarker Dual-tip Fineliner and Brushliner XXL Set of 48 KAT"/>
    <n v="2"/>
    <s v="22/26"/>
    <s v="20/26"/>
    <s v="LKASIA"/>
    <s v="22"/>
    <s v="20"/>
    <x v="0"/>
    <m/>
  </r>
  <r>
    <s v="540463"/>
    <s v="540463-RTM-1"/>
    <n v="2510"/>
    <s v="Twinmarker Dual-tip Fineliner and Brushliner XXL Set of 48 KAT"/>
    <n v="1"/>
    <s v="22/26"/>
    <s v="20/26"/>
    <s v="LKASIA"/>
    <s v="22"/>
    <s v="20"/>
    <x v="0"/>
    <m/>
  </r>
  <r>
    <s v="486232"/>
    <s v="486232-ANR-3"/>
    <n v="2510"/>
    <s v="Special drill set PSB 6 A1 KAT, 6 assorted"/>
    <n v="3"/>
    <s v="23/26"/>
    <s v="22/26"/>
    <s v="LKASIA"/>
    <s v="23"/>
    <s v="22"/>
    <x v="1"/>
    <m/>
  </r>
  <r>
    <s v="486232"/>
    <s v="486232-KOP-11"/>
    <n v="2510"/>
    <s v="Special drill set PSB 6 A1 KAT, 6 assorted"/>
    <n v="4"/>
    <s v="23/26"/>
    <s v="22/26"/>
    <s v="LKASIA"/>
    <s v="23"/>
    <s v="22"/>
    <x v="1"/>
    <m/>
  </r>
  <r>
    <s v="486232"/>
    <s v="486232-RTM-8"/>
    <n v="2510"/>
    <s v="Special drill set PSB 6 A1 KAT, 6 assorted"/>
    <n v="6"/>
    <s v="23/26"/>
    <s v="22/26"/>
    <s v="LKASIA"/>
    <s v="23"/>
    <s v="22"/>
    <x v="1"/>
    <m/>
  </r>
  <r>
    <s v="487754"/>
    <s v="487754-KOP-9"/>
    <n v="2510"/>
    <s v="12V cordless drill starter set PBSPA 12 E4 (with battery and charger) Best KAT"/>
    <n v="4"/>
    <s v="24/26"/>
    <s v="23/26"/>
    <s v="LKASIA"/>
    <s v="24"/>
    <s v="23"/>
    <x v="1"/>
    <m/>
  </r>
  <r>
    <s v="487754"/>
    <s v="487754-RTM-8"/>
    <n v="2510"/>
    <s v="12V cordless drill starter set PBSPA 12 E4 (with battery and charger) Best KAT"/>
    <n v="6"/>
    <s v="24/26"/>
    <s v="23/26"/>
    <s v="LKASIA"/>
    <s v="24"/>
    <s v="23"/>
    <x v="1"/>
    <m/>
  </r>
  <r>
    <s v="487754"/>
    <s v="487754-ANR-3"/>
    <n v="2510"/>
    <s v="12V cordless drill starter set PBSPA 12 E4 (with battery and charger) Best KAT"/>
    <n v="4"/>
    <s v="24/26"/>
    <s v="23/26"/>
    <s v="LKASIA"/>
    <s v="24"/>
    <s v="23"/>
    <x v="1"/>
    <m/>
  </r>
  <r>
    <s v="487754"/>
    <s v="487754-KOP-10"/>
    <n v="2510"/>
    <s v="12V cordless drill starter set PBSPA 12 E4 (with battery and charger) Best KAT"/>
    <n v="6"/>
    <s v="24/26"/>
    <s v="23/26"/>
    <s v="LKASIA"/>
    <s v="24"/>
    <s v="23"/>
    <x v="1"/>
    <m/>
  </r>
  <r>
    <s v="487754"/>
    <s v="487754-KOP-7"/>
    <n v="2510"/>
    <s v="12V cordless drill starter set PBSPA 12 E4 (with battery and charger) Best KAT"/>
    <n v="6"/>
    <s v="24/26"/>
    <s v="23/26"/>
    <s v="LKASIA"/>
    <s v="24"/>
    <s v="23"/>
    <x v="1"/>
    <m/>
  </r>
  <r>
    <s v="487754"/>
    <s v="487754-KOP-8"/>
    <n v="2510"/>
    <s v="12V cordless drill starter set PBSPA 12 E4 (with battery and charger) Best KAT"/>
    <n v="6"/>
    <s v="24/26"/>
    <s v="23/26"/>
    <s v="LKASIA"/>
    <s v="24"/>
    <s v="23"/>
    <x v="1"/>
    <m/>
  </r>
  <r>
    <s v="487754"/>
    <s v="487754-RTM-10"/>
    <n v="2510"/>
    <s v="12V cordless drill starter set PBSPA 12 E4 (with battery and charger) Best KAT"/>
    <n v="6"/>
    <s v="24/26"/>
    <s v="23/26"/>
    <s v="LKASIA"/>
    <s v="24"/>
    <s v="23"/>
    <x v="1"/>
    <m/>
  </r>
  <r>
    <s v="494215"/>
    <s v="494215-ANR-2"/>
    <n v="2510"/>
    <s v="20V Cordless chainsaw PAKS F5 (without battery and charger) KAT"/>
    <n v="18"/>
    <s v="22/26"/>
    <s v="21/26"/>
    <s v="LKASIA"/>
    <s v="22"/>
    <s v="21"/>
    <x v="1"/>
    <m/>
  </r>
  <r>
    <s v="494215"/>
    <s v="494215-KOP-7"/>
    <n v="2510"/>
    <s v="20V Cordless chainsaw PAKS F5 (without battery and charger) KAT"/>
    <n v="6"/>
    <s v="22/26"/>
    <s v="21/26"/>
    <s v="LKASIA"/>
    <s v="22"/>
    <s v="21"/>
    <x v="1"/>
    <m/>
  </r>
  <r>
    <s v="494215"/>
    <s v="494215-RTM-4"/>
    <n v="2510"/>
    <s v="20V Cordless chainsaw PAKS F5 (without battery and charger) KAT"/>
    <n v="17"/>
    <s v="22/26"/>
    <s v="21/26"/>
    <s v="LKASIA"/>
    <s v="22"/>
    <s v="21"/>
    <x v="1"/>
    <m/>
  </r>
  <r>
    <s v="494215"/>
    <s v="494215-KOP-8"/>
    <n v="2510"/>
    <s v="20V Cordless chainsaw PAKS F5 (without battery and charger) KAT"/>
    <n v="4"/>
    <s v="22/26"/>
    <s v="21/26"/>
    <s v="LKASIA"/>
    <s v="22"/>
    <s v="21"/>
    <x v="1"/>
    <m/>
  </r>
  <r>
    <s v="494215"/>
    <s v="494215-RTM-5"/>
    <n v="2510"/>
    <s v="20V Cordless chainsaw PAKS F5 (without battery and charger) KAT"/>
    <n v="15"/>
    <s v="22/26"/>
    <s v="21/26"/>
    <s v="LKASIA"/>
    <s v="22"/>
    <s v="21"/>
    <x v="1"/>
    <m/>
  </r>
  <r>
    <s v="494817"/>
    <s v="494817-KOP-4"/>
    <n v="2510"/>
    <s v="Pendulum action jigsaw 350W PSTD 350 B1 Good KAT"/>
    <n v="6"/>
    <s v="23/26"/>
    <s v="22/26"/>
    <s v="LKASIA"/>
    <s v="23"/>
    <s v="22"/>
    <x v="1"/>
    <m/>
  </r>
  <r>
    <s v="494817"/>
    <s v="494817-RTM-4"/>
    <n v="2510"/>
    <s v="Pendulum action jigsaw 350W PSTD 350 B1 Good KAT"/>
    <n v="13"/>
    <s v="23/26"/>
    <s v="22/26"/>
    <s v="LKASIA"/>
    <s v="23"/>
    <s v="22"/>
    <x v="1"/>
    <m/>
  </r>
  <r>
    <s v="495140"/>
    <s v="495140-KOP-3"/>
    <n v="2510"/>
    <s v="Laser distance meter 50 meters PLEM 50 D5 KAT"/>
    <n v="1"/>
    <s v="21/26"/>
    <s v="20/26"/>
    <s v="LKASIA"/>
    <s v="21"/>
    <s v="20"/>
    <x v="1"/>
    <m/>
  </r>
  <r>
    <s v="495140"/>
    <s v="495140-RTM-3"/>
    <n v="2510"/>
    <s v="Laser distance meter 50 meters PLEM 50 D5 KAT"/>
    <n v="1"/>
    <s v="21/26"/>
    <s v="20/26"/>
    <s v="LKASIA"/>
    <s v="21"/>
    <s v="20"/>
    <x v="1"/>
    <m/>
  </r>
  <r>
    <s v="496229"/>
    <s v="496229-RTM-5"/>
    <n v="2510"/>
    <s v="PBH 1050 D4 KAT rotary hammer and chisel hammer"/>
    <n v="6"/>
    <s v="20/26"/>
    <s v="18/26"/>
    <s v="LKASIA"/>
    <s v="20"/>
    <s v="18"/>
    <x v="0"/>
    <m/>
  </r>
  <r>
    <s v="496229"/>
    <s v="496229-KOP-5"/>
    <n v="2510"/>
    <s v="PBH 1050 D4 KAT rotary hammer and chisel hammer"/>
    <n v="2"/>
    <s v="20/26"/>
    <s v="18/26"/>
    <s v="LKASIA"/>
    <s v="20"/>
    <s v="18"/>
    <x v="0"/>
    <m/>
  </r>
  <r>
    <s v="496229"/>
    <s v="496229-RTM-4"/>
    <n v="2510"/>
    <s v="PBH 1050 D4 KAT rotary hammer and chisel hammer"/>
    <n v="4"/>
    <s v="20/26"/>
    <s v="18/26"/>
    <s v="LKASIA"/>
    <s v="20"/>
    <s v="18"/>
    <x v="0"/>
    <m/>
  </r>
  <r>
    <s v="496229"/>
    <s v="496229-KOP-4"/>
    <n v="2510"/>
    <s v="PBH 1050 D4 KAT rotary hammer and chisel hammer"/>
    <n v="6"/>
    <s v="20/26"/>
    <s v="18/26"/>
    <s v="LKASIA"/>
    <s v="20"/>
    <s v="18"/>
    <x v="0"/>
    <m/>
  </r>
  <r>
    <s v="496278"/>
    <s v="496278-KOP-4"/>
    <n v="2510"/>
    <s v="Bit extension / Square adapter / Drywall bits / Depth stop set KAT, 5 assorted."/>
    <n v="1"/>
    <s v="20/26"/>
    <s v="19/26"/>
    <s v="LKASIA"/>
    <s v="20"/>
    <s v="19"/>
    <x v="1"/>
    <m/>
  </r>
  <r>
    <s v="496278"/>
    <s v="496278-RTM-3"/>
    <n v="2510"/>
    <s v="Bit extension / Square adapter / Drywall bits / Depth stop set KAT, 5 assorted."/>
    <n v="2"/>
    <s v="20/26"/>
    <s v="19/26"/>
    <s v="LKASIA"/>
    <s v="20"/>
    <s v="19"/>
    <x v="1"/>
    <m/>
  </r>
  <r>
    <s v="496278"/>
    <s v="496278-KOP-3"/>
    <n v="2510"/>
    <s v="Bit extension / Square adapter / Drywall bits / Depth stop set KAT, 5 assorted."/>
    <n v="2"/>
    <s v="20/26"/>
    <s v="19/26"/>
    <s v="LKASIA"/>
    <s v="20"/>
    <s v="19"/>
    <x v="1"/>
    <m/>
  </r>
  <r>
    <s v="514450"/>
    <s v="514450-KOP-1"/>
    <n v="2510"/>
    <s v="12V cordless drill driver PBSPA 12 E4 (without battery and charger) Best"/>
    <n v="1"/>
    <s v="22/26"/>
    <s v="21/26"/>
    <s v="LKASIA"/>
    <s v="22"/>
    <s v="21"/>
    <x v="1"/>
    <m/>
  </r>
  <r>
    <s v="514450"/>
    <s v="514450-KOP-2"/>
    <n v="2510"/>
    <s v="12V cordless drill driver PBSPA 12 E4 (without battery and charger) Best"/>
    <n v="2"/>
    <s v="22/26"/>
    <s v="21/26"/>
    <s v="LKASIA"/>
    <s v="22"/>
    <s v="21"/>
    <x v="1"/>
    <m/>
  </r>
  <r>
    <s v="514450"/>
    <s v="514450-RTM-1"/>
    <n v="2510"/>
    <s v="12V cordless drill driver PBSPA 12 E4 (without battery and charger) Best"/>
    <n v="1"/>
    <s v="22/26"/>
    <s v="21/26"/>
    <s v="LKASIA"/>
    <s v="22"/>
    <s v="21"/>
    <x v="1"/>
    <m/>
  </r>
  <r>
    <s v="515640"/>
    <s v="515640-RTM-2"/>
    <n v="2510"/>
    <s v="20V battery wall mount KAT, 4 assorted."/>
    <n v="2"/>
    <s v="22/26"/>
    <s v="21/26"/>
    <s v="LKASIA"/>
    <s v="22"/>
    <s v="21"/>
    <x v="1"/>
    <m/>
  </r>
  <r>
    <s v="515640"/>
    <s v="515640-KOP-2"/>
    <n v="2510"/>
    <s v="20V battery wall mount KAT, 4 assorted."/>
    <n v="2"/>
    <s v="22/26"/>
    <s v="21/26"/>
    <s v="LKASIA"/>
    <s v="22"/>
    <s v="21"/>
    <x v="1"/>
    <m/>
  </r>
  <r>
    <s v="515640"/>
    <s v="515640-RTM-1"/>
    <n v="2510"/>
    <s v="20V battery wall mount KAT, 4 assorted."/>
    <n v="1"/>
    <s v="22/26"/>
    <s v="21/26"/>
    <s v="LKASIA"/>
    <s v="22"/>
    <s v="21"/>
    <x v="1"/>
    <m/>
  </r>
  <r>
    <s v="515640"/>
    <s v="515640-KOP-1"/>
    <n v="2510"/>
    <s v="20V battery wall mount KAT, 4 assorted."/>
    <n v="1"/>
    <s v="22/26"/>
    <s v="21/26"/>
    <s v="LKASIA"/>
    <s v="22"/>
    <s v="21"/>
    <x v="1"/>
    <m/>
  </r>
  <r>
    <s v="515671"/>
    <s v="515671-KOP-2"/>
    <n v="2510"/>
    <s v="Angled bit holder / Impact drill set, 2 assorted."/>
    <n v="1"/>
    <s v="20/26"/>
    <s v="19/26"/>
    <s v="LKASIA"/>
    <s v="20"/>
    <s v="19"/>
    <x v="1"/>
    <m/>
  </r>
  <r>
    <s v="515671"/>
    <s v="515671-KOP-1"/>
    <n v="2510"/>
    <s v="Angled bit holder / Impact drill set, 2 assorted."/>
    <n v="1"/>
    <s v="20/26"/>
    <s v="19/26"/>
    <s v="LKASIA"/>
    <s v="20"/>
    <s v="19"/>
    <x v="1"/>
    <m/>
  </r>
  <r>
    <s v="515671"/>
    <s v="515671-RTM-1"/>
    <n v="2510"/>
    <s v="Angled bit holder / Impact drill set, 2 assorted."/>
    <n v="1"/>
    <s v="20/26"/>
    <s v="19/26"/>
    <s v="LKASIA"/>
    <s v="20"/>
    <s v="19"/>
    <x v="1"/>
    <m/>
  </r>
  <r>
    <s v="515872"/>
    <s v="515872-KOP-1"/>
    <n v="2510"/>
    <s v="Drill accessories woodworking, 4 assorted."/>
    <n v="2"/>
    <s v="23/26"/>
    <s v="22/26"/>
    <s v="LKASIA"/>
    <s v="23"/>
    <s v="22"/>
    <x v="1"/>
    <m/>
  </r>
  <r>
    <s v="515872"/>
    <s v="515872-RTM-1"/>
    <n v="2510"/>
    <s v="Drill accessories woodworking, 4 assorted."/>
    <n v="1"/>
    <s v="23/26"/>
    <s v="22/26"/>
    <s v="LKASIA"/>
    <s v="23"/>
    <s v="22"/>
    <x v="1"/>
    <m/>
  </r>
  <r>
    <s v="516653"/>
    <s v="516653-KOP-2"/>
    <n v="2510"/>
    <s v="Contactless voltage tester PKSS A2 Network cable tester PNKT A1 GRS , 2 assorted."/>
    <n v="1"/>
    <s v="20/26"/>
    <s v="19/26"/>
    <s v="LKASIA"/>
    <s v="20"/>
    <s v="19"/>
    <x v="1"/>
    <m/>
  </r>
  <r>
    <s v="516653"/>
    <s v="516653-RTM-2"/>
    <n v="2510"/>
    <s v="Contactless voltage tester PKSS A2 Network cable tester PNKT A1 GRS , 2 assorted."/>
    <n v="1"/>
    <s v="20/26"/>
    <s v="19/26"/>
    <s v="LKASIA"/>
    <s v="20"/>
    <s v="19"/>
    <x v="1"/>
    <m/>
  </r>
  <r>
    <s v="516653"/>
    <s v="516653-ANR-1"/>
    <n v="2510"/>
    <s v="Contactless voltage tester PKSS A2 Network cable tester PNKT A1 GRS , 2 assorted."/>
    <n v="2"/>
    <s v="20/26"/>
    <s v="19/26"/>
    <s v="LKASIA"/>
    <s v="20"/>
    <s v="19"/>
    <x v="1"/>
    <m/>
  </r>
  <r>
    <s v="516653"/>
    <s v="516653-KOP-1"/>
    <n v="2510"/>
    <s v="Contactless voltage tester PKSS A2 Network cable tester PNKT A1 GRS , 2 assorted."/>
    <n v="1"/>
    <s v="20/26"/>
    <s v="19/26"/>
    <s v="LKASIA"/>
    <s v="20"/>
    <s v="19"/>
    <x v="1"/>
    <m/>
  </r>
  <r>
    <s v="516653"/>
    <s v="516653-RTM-1"/>
    <n v="2510"/>
    <s v="Contactless voltage tester PKSS A2 Network cable tester PNKT A1 GRS , 2 assorted."/>
    <n v="1"/>
    <s v="20/26"/>
    <s v="19/26"/>
    <s v="LKASIA"/>
    <s v="20"/>
    <s v="19"/>
    <x v="1"/>
    <m/>
  </r>
  <r>
    <s v="517291"/>
    <s v="517291-KOP-4"/>
    <n v="2510"/>
    <s v="Multifunctional table 3pcs. KAT"/>
    <n v="3"/>
    <s v="20/26"/>
    <s v="19/26"/>
    <s v="LKASIA"/>
    <s v="20"/>
    <s v="19"/>
    <x v="1"/>
    <m/>
  </r>
  <r>
    <s v="517291"/>
    <s v="517291-RTM-2"/>
    <n v="2510"/>
    <s v="Multifunctional table 3pcs. KAT"/>
    <n v="2"/>
    <s v="20/26"/>
    <s v="19/26"/>
    <s v="LKASIA"/>
    <s v="20"/>
    <s v="19"/>
    <x v="1"/>
    <m/>
  </r>
  <r>
    <s v="517291"/>
    <s v="517291-ANR-1"/>
    <n v="2510"/>
    <s v="Multifunctional table 3pcs. KAT"/>
    <n v="55"/>
    <s v="20/26"/>
    <s v="19/26"/>
    <s v="LKASIA"/>
    <s v="20"/>
    <s v="19"/>
    <x v="1"/>
    <m/>
  </r>
  <r>
    <s v="517291"/>
    <s v="517291-KOP-3"/>
    <n v="2510"/>
    <s v="Multifunctional table 3pcs. KAT"/>
    <n v="13"/>
    <s v="20/26"/>
    <s v="19/26"/>
    <s v="LKASIA"/>
    <s v="20"/>
    <s v="19"/>
    <x v="1"/>
    <m/>
  </r>
  <r>
    <s v="517291"/>
    <s v="517291-RTM-1"/>
    <n v="2510"/>
    <s v="Multifunctional table 3pcs. KAT"/>
    <n v="14"/>
    <s v="20/26"/>
    <s v="19/26"/>
    <s v="LKASIA"/>
    <s v="20"/>
    <s v="19"/>
    <x v="1"/>
    <m/>
  </r>
  <r>
    <s v="517291"/>
    <s v="517291-KOP-1"/>
    <n v="2510"/>
    <s v="Multifunctional table 3pcs. KAT"/>
    <n v="12"/>
    <s v="20/26"/>
    <s v="19/26"/>
    <s v="LKASIA"/>
    <s v="20"/>
    <s v="19"/>
    <x v="1"/>
    <m/>
  </r>
  <r>
    <s v="517291"/>
    <s v="517291-KOP-2"/>
    <n v="2510"/>
    <s v="Multifunctional table 3pcs. KAT"/>
    <n v="12"/>
    <s v="20/26"/>
    <s v="19/26"/>
    <s v="LKASIA"/>
    <s v="20"/>
    <s v="19"/>
    <x v="1"/>
    <m/>
  </r>
  <r>
    <s v="518478"/>
    <s v="518478-KOP-4"/>
    <n v="2510"/>
    <s v="Painter set 7pcs. / Telescopic stick with paint roller 3-unit / Painter set 10pcs. / Vacuum brush and roller storage, 3 assorted."/>
    <n v="3"/>
    <s v="20/26"/>
    <s v="19/26"/>
    <s v="LKASIA"/>
    <s v="20"/>
    <s v="19"/>
    <x v="1"/>
    <m/>
  </r>
  <r>
    <s v="518478"/>
    <s v="518478-KOP-3"/>
    <n v="2510"/>
    <s v="Painter set 7pcs. / Telescopic stick with paint roller 3-unit / Painter set 10pcs. / Vacuum brush and roller storage, 3 assorted."/>
    <n v="4"/>
    <s v="20/26"/>
    <s v="19/26"/>
    <s v="LKASIA"/>
    <s v="20"/>
    <s v="19"/>
    <x v="1"/>
    <m/>
  </r>
  <r>
    <s v="518478"/>
    <s v="518478-RTM-1"/>
    <n v="2510"/>
    <s v="Painter set 7pcs. / Telescopic stick with paint roller 3-unit / Painter set 10pcs. / Vacuum brush and roller storage, 3 assorted."/>
    <n v="8"/>
    <s v="20/26"/>
    <s v="19/26"/>
    <s v="LKASIA"/>
    <s v="20"/>
    <s v="19"/>
    <x v="1"/>
    <m/>
  </r>
  <r>
    <s v="518478"/>
    <s v="518478-RTM-3"/>
    <n v="2510"/>
    <s v="Painter set 7pcs. / Telescopic stick with paint roller 3-unit / Painter set 10pcs. / Vacuum brush and roller storage, 3 assorted."/>
    <n v="4"/>
    <s v="20/26"/>
    <s v="19/26"/>
    <s v="LKASIA"/>
    <s v="20"/>
    <s v="19"/>
    <x v="1"/>
    <m/>
  </r>
  <r>
    <s v="518478"/>
    <s v="518478-ANR-1"/>
    <n v="2510"/>
    <s v="Painter set 7pcs. / Telescopic stick with paint roller 3-unit / Painter set 10pcs. / Vacuum brush and roller storage, 3 assorted."/>
    <n v="14"/>
    <s v="20/26"/>
    <s v="19/26"/>
    <s v="LKASIA"/>
    <s v="20"/>
    <s v="19"/>
    <x v="1"/>
    <m/>
  </r>
  <r>
    <s v="518478"/>
    <s v="518478-KOP-2"/>
    <n v="2510"/>
    <s v="Painter set 7pcs. / Telescopic stick with paint roller 3-unit / Painter set 10pcs. / Vacuum brush and roller storage, 3 assorted."/>
    <n v="4"/>
    <s v="20/26"/>
    <s v="19/26"/>
    <s v="LKASIA"/>
    <s v="20"/>
    <s v="19"/>
    <x v="1"/>
    <m/>
  </r>
  <r>
    <s v="518478"/>
    <s v="518478-RTM-2"/>
    <n v="2510"/>
    <s v="Painter set 7pcs. / Telescopic stick with paint roller 3-unit / Painter set 10pcs. / Vacuum brush and roller storage, 3 assorted."/>
    <n v="6"/>
    <s v="20/26"/>
    <s v="19/26"/>
    <s v="LKASIA"/>
    <s v="20"/>
    <s v="19"/>
    <x v="1"/>
    <m/>
  </r>
  <r>
    <s v="518478"/>
    <s v="518478-KOP-1"/>
    <n v="2510"/>
    <s v="Painter set 7pcs. / Telescopic stick with paint roller 3-unit / Painter set 10pcs. / Vacuum brush and roller storage, 3 assorted."/>
    <n v="4"/>
    <s v="20/26"/>
    <s v="19/26"/>
    <s v="LKASIA"/>
    <s v="20"/>
    <s v="19"/>
    <x v="1"/>
    <m/>
  </r>
  <r>
    <s v="525250"/>
    <s v="525250-ANR-1"/>
    <n v="2510"/>
    <s v="Router POF 1200 F5 KAT"/>
    <n v="4"/>
    <s v="23/26"/>
    <s v="22/26"/>
    <s v="LKASIA"/>
    <s v="23"/>
    <s v="22"/>
    <x v="1"/>
    <m/>
  </r>
  <r>
    <s v="525250"/>
    <s v="525250-KOP-4"/>
    <n v="2510"/>
    <s v="Router POF 1200 F5 KAT"/>
    <n v="4"/>
    <s v="23/26"/>
    <s v="22/26"/>
    <s v="LKASIA"/>
    <s v="23"/>
    <s v="22"/>
    <x v="1"/>
    <m/>
  </r>
  <r>
    <s v="525250"/>
    <s v="525250-RTM-4"/>
    <n v="2510"/>
    <s v="Router POF 1200 F5 KAT"/>
    <n v="6"/>
    <s v="23/26"/>
    <s v="22/26"/>
    <s v="LKASIA"/>
    <s v="23"/>
    <s v="22"/>
    <x v="1"/>
    <m/>
  </r>
  <r>
    <s v="525254"/>
    <s v="525254-KOP-2"/>
    <n v="2510"/>
    <s v="Compressor Silent PSKO 248 B1 Good KAT"/>
    <n v="4"/>
    <s v="23/26"/>
    <s v="22/26"/>
    <s v="LKASIA"/>
    <s v="23"/>
    <s v="22"/>
    <x v="1"/>
    <m/>
  </r>
  <r>
    <s v="525254"/>
    <s v="525254-KOP-3"/>
    <n v="2510"/>
    <s v="Compressor Silent PSKO 248 B1 Good KAT"/>
    <n v="6"/>
    <s v="24/26"/>
    <s v="22/26"/>
    <s v="LKASIA"/>
    <s v="24"/>
    <s v="22"/>
    <x v="0"/>
    <m/>
  </r>
  <r>
    <s v="525254"/>
    <s v="525254-KOP-4"/>
    <n v="2510"/>
    <s v="Compressor Silent PSKO 248 B1 Good KAT"/>
    <n v="4"/>
    <s v="25/26"/>
    <s v="22/26"/>
    <s v="LKASIA"/>
    <s v="25"/>
    <s v="22"/>
    <x v="3"/>
    <m/>
  </r>
  <r>
    <s v="525254"/>
    <s v="525254-RTM-4"/>
    <n v="2510"/>
    <s v="Compressor Silent PSKO 248 B1 Good KAT"/>
    <n v="8"/>
    <s v="24/26"/>
    <s v="22/26"/>
    <s v="LKASIA"/>
    <s v="24"/>
    <s v="22"/>
    <x v="0"/>
    <m/>
  </r>
  <r>
    <s v="528628"/>
    <s v="528628-KOP-2"/>
    <n v="2510"/>
    <s v="Bit extension / Square adapter / Drywall bits / Depth stop set KAT Bit extension PBV 4 A1"/>
    <n v="1"/>
    <s v="21/26"/>
    <s v="20/26"/>
    <s v="LKASIA"/>
    <s v="21"/>
    <s v="20"/>
    <x v="1"/>
    <m/>
  </r>
  <r>
    <s v="528630"/>
    <s v="528630-KOP-2"/>
    <n v="2510"/>
    <s v="Bit extension / Square adapter / Drywall bits / Depth stop set KAT square adapter 3pcs. PVA 4 A1"/>
    <n v="1"/>
    <s v="21/26"/>
    <s v="20/26"/>
    <s v="LKASIA"/>
    <s v="21"/>
    <s v="20"/>
    <x v="1"/>
    <m/>
  </r>
  <r>
    <s v="528632"/>
    <s v="528632-KOP-2"/>
    <n v="2510"/>
    <s v="Bit extension / Square adapter / Drywall bits / Depth stop set KAT Drywall bits 25mm 6pcs. PTB 4 A1 25"/>
    <n v="1"/>
    <s v="21/26"/>
    <s v="20/26"/>
    <s v="LKASIA"/>
    <s v="21"/>
    <s v="20"/>
    <x v="1"/>
    <m/>
  </r>
  <r>
    <s v="528634"/>
    <s v="528634-KOP-2"/>
    <n v="2510"/>
    <s v="Bit extension / Square adapter / Drywall bits / Depth stop set KAT Drywall bits 50mm 5pcs. PTB 4 A1 50"/>
    <n v="1"/>
    <s v="21/26"/>
    <s v="20/26"/>
    <s v="LKASIA"/>
    <s v="21"/>
    <s v="20"/>
    <x v="1"/>
    <m/>
  </r>
  <r>
    <s v="528636"/>
    <s v="528636-KOP-2"/>
    <n v="2510"/>
    <s v="Bit extension / Square adapter / Drywall bits / Depth stop set KAT Depth stop set"/>
    <n v="1"/>
    <s v="21/26"/>
    <s v="20/26"/>
    <s v="LKASIA"/>
    <s v="21"/>
    <s v="20"/>
    <x v="1"/>
    <m/>
  </r>
  <r>
    <s v="540711"/>
    <s v="540711-RTM-5"/>
    <n v="2510"/>
    <s v="FIX10 20V Akku 4 Ah PAP 204 A1 KAT"/>
    <n v="11"/>
    <s v="22/26"/>
    <s v="22/26"/>
    <s v="LKASIA"/>
    <s v="22"/>
    <s v="22"/>
    <x v="2"/>
    <m/>
  </r>
  <r>
    <s v="540711"/>
    <s v="540711-RTM-18"/>
    <n v="2510"/>
    <s v="FIX10 20V Akku 4 Ah PAP 204 A1 KAT"/>
    <n v="11"/>
    <s v="23/26"/>
    <s v="23/26"/>
    <s v="LKASIA"/>
    <s v="23"/>
    <s v="23"/>
    <x v="2"/>
    <m/>
  </r>
  <r>
    <s v="540711"/>
    <s v="540711-KOP-4"/>
    <n v="2510"/>
    <s v="FIX10 20V Akku 4 Ah PAP 204 A1 KAT"/>
    <n v="14"/>
    <s v="23/26"/>
    <s v="23/26"/>
    <s v="LKASIA"/>
    <s v="23"/>
    <s v="23"/>
    <x v="2"/>
    <m/>
  </r>
  <r>
    <s v="490511"/>
    <s v="490511-RTM-7"/>
    <n v="2510"/>
    <s v="Ladies Men Sport Socks Short Shaft 3 pairs pack PES/PA/EL KAT, 2 assorted"/>
    <n v="1"/>
    <s v="21/26"/>
    <s v="20/26"/>
    <s v="LKASIA"/>
    <s v="21"/>
    <s v="20"/>
    <x v="1"/>
    <m/>
  </r>
  <r>
    <s v="490511"/>
    <s v="490511-KOP-5"/>
    <n v="2510"/>
    <s v="Ladies Men Sport Socks Short Shaft 3 pairs pack PES/PA/EL KAT, 2 assorted"/>
    <n v="3"/>
    <s v="21/26"/>
    <s v="20/26"/>
    <s v="LKASIA"/>
    <s v="21"/>
    <s v="20"/>
    <x v="1"/>
    <m/>
  </r>
  <r>
    <s v="493803"/>
    <s v="493803-ANR-2"/>
    <n v="2510"/>
    <s v="Ladies Socks OCS 7 pairs pack CO/PA/EL KAT, 2 assorted"/>
    <n v="7"/>
    <s v="23/26"/>
    <s v="19/26"/>
    <s v="LKASIA"/>
    <s v="23"/>
    <s v="19"/>
    <x v="4"/>
    <m/>
  </r>
  <r>
    <s v="493814"/>
    <s v="493814-ANR-2"/>
    <n v="2510"/>
    <s v="Men Socks OCS 7 pairs pack CO/PA/EL KAT, 2 assorted."/>
    <n v="2"/>
    <s v="23/26"/>
    <s v="23/26"/>
    <s v="LKASIA"/>
    <s v="23"/>
    <s v="23"/>
    <x v="2"/>
    <m/>
  </r>
  <r>
    <s v="493814"/>
    <s v="493814-KOP-7"/>
    <n v="2510"/>
    <s v="Men Socks OCS 7 pairs pack CO/PA/EL KAT, 2 assorted."/>
    <n v="1"/>
    <s v="23/26"/>
    <s v="23/26"/>
    <s v="LKASIA"/>
    <s v="23"/>
    <s v="23"/>
    <x v="2"/>
    <m/>
  </r>
  <r>
    <s v="495037"/>
    <s v="495037-ANR-2"/>
    <n v="2510"/>
    <s v="Men Jeans Straight Fit CO/EL KAT, 2 assorted"/>
    <n v="4"/>
    <s v="23/26"/>
    <s v="16/26"/>
    <s v="LKASIA"/>
    <s v="23"/>
    <s v="16"/>
    <x v="6"/>
    <m/>
  </r>
  <r>
    <s v="495037"/>
    <s v="495037-KOP-2"/>
    <n v="2510"/>
    <s v="Men Jeans Straight Fit CO/EL KAT, 2 assorted"/>
    <n v="2"/>
    <s v="23/26"/>
    <s v="16/26"/>
    <s v="LKASIA"/>
    <s v="23"/>
    <s v="16"/>
    <x v="6"/>
    <m/>
  </r>
  <r>
    <s v="495037"/>
    <s v="495037-KOP-3"/>
    <n v="2510"/>
    <s v="Men Jeans Straight Fit CO/EL KAT, 2 assorted"/>
    <n v="2"/>
    <s v="25/26"/>
    <s v="16/26"/>
    <s v="LKASIA"/>
    <s v="25"/>
    <s v="16"/>
    <x v="8"/>
    <m/>
  </r>
  <r>
    <s v="495037"/>
    <s v="495037-RTM-2"/>
    <n v="2510"/>
    <s v="Men Jeans Straight Fit CO/EL KAT, 2 assorted"/>
    <n v="4"/>
    <s v="24/26"/>
    <s v="16/26"/>
    <s v="LKASIA"/>
    <s v="24"/>
    <s v="16"/>
    <x v="7"/>
    <m/>
  </r>
  <r>
    <s v="495037"/>
    <s v="495037-RTM-3"/>
    <n v="2510"/>
    <s v="Men Jeans Straight Fit CO/EL KAT, 2 assorted"/>
    <n v="4"/>
    <s v="23/26"/>
    <s v="16/26"/>
    <s v="LKASIA"/>
    <s v="23"/>
    <s v="16"/>
    <x v="6"/>
    <m/>
  </r>
  <r>
    <s v="510963"/>
    <s v="510963-KOP-1"/>
    <n v="2510"/>
    <s v="Ladies Socks Rib OCS 5 pairs pack CO/PA/EL, 2 assorted"/>
    <n v="1"/>
    <s v="23/26"/>
    <s v="20/26"/>
    <s v="LKASIA"/>
    <s v="23"/>
    <s v="20"/>
    <x v="3"/>
    <m/>
  </r>
  <r>
    <s v="510963"/>
    <s v="510963-RTM-1"/>
    <n v="2510"/>
    <s v="Ladies Socks Rib OCS 5 pairs pack CO/PA/EL, 2 assorted"/>
    <n v="1"/>
    <s v="24/26"/>
    <s v="20/26"/>
    <s v="LKASIA"/>
    <s v="24"/>
    <s v="20"/>
    <x v="4"/>
    <m/>
  </r>
  <r>
    <s v="510968"/>
    <s v="510968-RTM-1"/>
    <n v="2510"/>
    <s v="Men Socks OCS 5 pairs pack CO/PA/EL VA, 2 assorted."/>
    <n v="1"/>
    <s v="21/26"/>
    <s v="20/26"/>
    <s v="LKASIA"/>
    <s v="21"/>
    <s v="20"/>
    <x v="1"/>
    <m/>
  </r>
  <r>
    <s v="510968"/>
    <s v="510968-KOP-1"/>
    <n v="2510"/>
    <s v="Men Socks OCS 5 pairs pack CO/PA/EL VA, 2 assorted."/>
    <n v="1"/>
    <s v="21/26"/>
    <s v="20/26"/>
    <s v="LKASIA"/>
    <s v="21"/>
    <s v="20"/>
    <x v="1"/>
    <m/>
  </r>
  <r>
    <s v="514014"/>
    <s v="514014-KOP-2"/>
    <n v="2510"/>
    <s v="Ladies Ankle Boots PU/EL , 2 assorted."/>
    <n v="9"/>
    <s v="21/26"/>
    <s v="19/26"/>
    <s v="LKASIA"/>
    <s v="21"/>
    <s v="19"/>
    <x v="0"/>
    <m/>
  </r>
  <r>
    <s v="514014"/>
    <s v="514014-RTM-1"/>
    <n v="2510"/>
    <s v="Ladies Ankle Boots PU/EL , 2 assorted."/>
    <n v="7"/>
    <s v="21/26"/>
    <s v="19/26"/>
    <s v="LKASIA"/>
    <s v="21"/>
    <s v="19"/>
    <x v="0"/>
    <m/>
  </r>
  <r>
    <s v="514014"/>
    <s v="514014-KOP-1"/>
    <n v="2510"/>
    <s v="Ladies Ankle Boots PU/EL , 2 assorted."/>
    <n v="2"/>
    <s v="21/26"/>
    <s v="19/26"/>
    <s v="LKASIA"/>
    <s v="21"/>
    <s v="19"/>
    <x v="0"/>
    <m/>
  </r>
  <r>
    <s v="514225"/>
    <s v="514225-ANR-1"/>
    <n v="2510"/>
    <s v="Ladies Long Sleeves Shirt GOTS CO/EL , 2 assorted."/>
    <n v="3"/>
    <s v="20/26"/>
    <s v="17/26"/>
    <s v="LKASIA"/>
    <s v="20"/>
    <s v="17"/>
    <x v="3"/>
    <m/>
  </r>
  <r>
    <s v="514225"/>
    <s v="514225-KOP-1"/>
    <n v="2510"/>
    <s v="Ladies Long Sleeves Shirt GOTS CO/EL , 2 assorted."/>
    <n v="4"/>
    <s v="20/26"/>
    <s v="17/26"/>
    <s v="LKASIA"/>
    <s v="20"/>
    <s v="17"/>
    <x v="3"/>
    <m/>
  </r>
  <r>
    <s v="514225"/>
    <s v="514225-RTM-1"/>
    <n v="2510"/>
    <s v="Ladies Long Sleeves Shirt GOTS CO/EL , 2 assorted."/>
    <n v="3"/>
    <s v="20/26"/>
    <s v="17/26"/>
    <s v="LKASIA"/>
    <s v="20"/>
    <s v="17"/>
    <x v="3"/>
    <m/>
  </r>
  <r>
    <s v="514340"/>
    <s v="514340-KOP-1"/>
    <n v="2510"/>
    <s v="Men Sneakers 90s PU , 2 assorted."/>
    <n v="21"/>
    <s v="21/26"/>
    <s v="20/26"/>
    <s v="LKASIA"/>
    <s v="21"/>
    <s v="20"/>
    <x v="1"/>
    <m/>
  </r>
  <r>
    <s v="514340"/>
    <s v="514340-RTM-1"/>
    <n v="2510"/>
    <s v="Men Sneakers 90s PU , 2 assorted."/>
    <n v="4"/>
    <s v="21/26"/>
    <s v="20/26"/>
    <s v="LKASIA"/>
    <s v="21"/>
    <s v="20"/>
    <x v="1"/>
    <m/>
  </r>
  <r>
    <s v="514340"/>
    <s v="514340-KOP-2"/>
    <n v="2510"/>
    <s v="Men Sneakers 90s PU , 2 assorted."/>
    <n v="7"/>
    <s v="21/26"/>
    <s v="20/26"/>
    <s v="LKASIA"/>
    <s v="21"/>
    <s v="20"/>
    <x v="1"/>
    <m/>
  </r>
  <r>
    <s v="514347"/>
    <s v="514347-KOP-2"/>
    <n v="2510"/>
    <s v="Men Slippers PES , 2 assorted."/>
    <n v="3"/>
    <s v="21/26"/>
    <s v="20/26"/>
    <s v="LKASIA"/>
    <s v="21"/>
    <s v="20"/>
    <x v="1"/>
    <m/>
  </r>
  <r>
    <s v="514347"/>
    <s v="514347-RTM-1"/>
    <n v="2510"/>
    <s v="Men Slippers PES , 2 assorted."/>
    <n v="2"/>
    <s v="21/26"/>
    <s v="20/26"/>
    <s v="LKASIA"/>
    <s v="21"/>
    <s v="20"/>
    <x v="1"/>
    <m/>
  </r>
  <r>
    <s v="514347"/>
    <s v="514347-KOP-1"/>
    <n v="2510"/>
    <s v="Men Slippers PES , 2 assorted."/>
    <n v="4"/>
    <s v="21/26"/>
    <s v="20/26"/>
    <s v="LKASIA"/>
    <s v="21"/>
    <s v="20"/>
    <x v="1"/>
    <m/>
  </r>
  <r>
    <s v="514849"/>
    <s v="514849-KOP-1"/>
    <n v="2510"/>
    <s v="Men Working Socks 5 pairs pack CO/PES/EL, 2 assorted"/>
    <n v="2"/>
    <s v="22/26"/>
    <s v="21/26"/>
    <s v="LKASIA"/>
    <s v="22"/>
    <s v="21"/>
    <x v="1"/>
    <m/>
  </r>
  <r>
    <s v="514849"/>
    <s v="514849-RTM-2"/>
    <n v="2510"/>
    <s v="Men Working Socks 5 pairs pack CO/PES/EL, 2 assorted"/>
    <n v="1"/>
    <s v="22/26"/>
    <s v="21/26"/>
    <s v="LKASIA"/>
    <s v="22"/>
    <s v="21"/>
    <x v="1"/>
    <m/>
  </r>
  <r>
    <s v="514849"/>
    <s v="514849-ANR-1"/>
    <n v="2510"/>
    <s v="Men Working Socks 5 pairs pack CO/PES/EL, 2 assorted"/>
    <n v="2"/>
    <s v="22/26"/>
    <s v="21/26"/>
    <s v="LKASIA"/>
    <s v="22"/>
    <s v="21"/>
    <x v="1"/>
    <m/>
  </r>
  <r>
    <s v="514849"/>
    <s v="514849-RTM-1"/>
    <n v="2510"/>
    <s v="Men Working Socks 5 pairs pack CO/PES/EL, 2 assorted"/>
    <n v="2"/>
    <s v="22/26"/>
    <s v="21/26"/>
    <s v="LKASIA"/>
    <s v="22"/>
    <s v="21"/>
    <x v="1"/>
    <m/>
  </r>
  <r>
    <s v="514849"/>
    <s v="514849-KOP-2"/>
    <n v="2510"/>
    <s v="Men Working Socks 5 pairs pack CO/PES/EL, 2 assorted"/>
    <n v="1"/>
    <s v="22/26"/>
    <s v="21/26"/>
    <s v="LKASIA"/>
    <s v="22"/>
    <s v="21"/>
    <x v="1"/>
    <m/>
  </r>
  <r>
    <s v="515380"/>
    <s v="515380-ANR-1"/>
    <n v="2510"/>
    <s v="Small Kids Girls Boys Socks OCS 7 pairs pack CO/PA/EL, 2 assorted"/>
    <n v="4"/>
    <s v="20/26"/>
    <s v="19/26"/>
    <s v="LKASIA"/>
    <s v="20"/>
    <s v="19"/>
    <x v="1"/>
    <m/>
  </r>
  <r>
    <s v="515380"/>
    <s v="515380-RTM-1"/>
    <n v="2510"/>
    <s v="Small Kids Girls Boys Socks OCS 7 pairs pack CO/PA/EL, 2 assorted"/>
    <n v="3"/>
    <s v="20/26"/>
    <s v="19/26"/>
    <s v="LKASIA"/>
    <s v="20"/>
    <s v="19"/>
    <x v="1"/>
    <m/>
  </r>
  <r>
    <s v="515380"/>
    <s v="515380-KOP-1"/>
    <n v="2510"/>
    <s v="Small Kids Girls Boys Socks OCS 7 pairs pack CO/PA/EL, 2 assorted"/>
    <n v="7"/>
    <s v="20/26"/>
    <s v="19/26"/>
    <s v="LKASIA"/>
    <s v="20"/>
    <s v="19"/>
    <x v="1"/>
    <m/>
  </r>
  <r>
    <s v="516084"/>
    <s v="516084-KOP-1"/>
    <n v="2510"/>
    <s v="Ladies Bomber Jacket GRS PES, 2 assorted."/>
    <n v="1"/>
    <s v="21/26"/>
    <s v="19/26"/>
    <s v="LKASIA"/>
    <s v="21"/>
    <s v="19"/>
    <x v="0"/>
    <m/>
  </r>
  <r>
    <s v="516084"/>
    <s v="516084-RTM-1"/>
    <n v="2510"/>
    <s v="Ladies Bomber Jacket GRS PES, 2 assorted."/>
    <n v="1"/>
    <s v="21/26"/>
    <s v="19/26"/>
    <s v="LKASIA"/>
    <s v="21"/>
    <s v="19"/>
    <x v="0"/>
    <m/>
  </r>
  <r>
    <s v="516189"/>
    <s v="516189-KOP-1"/>
    <n v="2510"/>
    <s v="Ladies Knitted Dress RCS CV/PES/EL , 3 assorted."/>
    <n v="1"/>
    <s v="23/26"/>
    <s v="21/26"/>
    <s v="LKASIA"/>
    <s v="23"/>
    <s v="21"/>
    <x v="0"/>
    <m/>
  </r>
  <r>
    <s v="516189"/>
    <s v="516189-RTM-1"/>
    <n v="2510"/>
    <s v="Ladies Knitted Dress RCS CV/PES/EL , 3 assorted."/>
    <n v="4"/>
    <s v="23/26"/>
    <s v="21/26"/>
    <s v="LKASIA"/>
    <s v="23"/>
    <s v="21"/>
    <x v="0"/>
    <m/>
  </r>
  <r>
    <s v="514239"/>
    <s v="514239-RTM-1"/>
    <n v="2510"/>
    <s v="H Hemd Flanell RCS CO PES"/>
    <n v="5"/>
    <s v="21/26"/>
    <s v="20/26"/>
    <s v="TOPGRADE"/>
    <s v="21"/>
    <s v="20"/>
    <x v="1"/>
    <m/>
  </r>
  <r>
    <s v="516086"/>
    <s v="516086-RTM-2 "/>
    <n v="2510"/>
    <s v="D Hemd CO/PES"/>
    <n v="2"/>
    <s v="21/26"/>
    <s v="21/26"/>
    <s v="TOPGRADE"/>
    <s v="21"/>
    <s v="21"/>
    <x v="2"/>
    <m/>
  </r>
  <r>
    <s v="516086"/>
    <s v="516086-RTM-1"/>
    <n v="2510"/>
    <s v="D Hemd CO/PES"/>
    <n v="4"/>
    <s v="23/26"/>
    <s v="23/26"/>
    <s v="TOPGRADE"/>
    <s v="23"/>
    <s v="23"/>
    <x v="2"/>
    <m/>
  </r>
  <r>
    <s v="522191"/>
    <s v="522191-RTM-1"/>
    <n v="2601"/>
    <s v="D Strickkleid Jacquard GRS PES/PAN/PA/WO"/>
    <n v="6"/>
    <s v="26/26"/>
    <s v="25/26"/>
    <s v="TOPGRADE"/>
    <s v="26"/>
    <s v="25"/>
    <x v="1"/>
    <m/>
  </r>
  <r>
    <s v=" 51685"/>
    <s v=" 516856-RTM-1"/>
    <n v="2510"/>
    <s v="H Chino Web Slim Fit CO/EL VA"/>
    <n v="6"/>
    <s v="20/26"/>
    <s v="19/26"/>
    <s v="TOPGRADE"/>
    <s v="20"/>
    <s v="19"/>
    <x v="1"/>
    <m/>
  </r>
  <r>
    <s v="516856"/>
    <s v="516856-RTM 2"/>
    <n v="2510"/>
    <s v="H Chino Web Slim Fit CO/EL VA"/>
    <n v="1"/>
    <s v="17/26"/>
    <s v="17/26"/>
    <s v="TOPGRADE"/>
    <s v="17"/>
    <s v="17"/>
    <x v="2"/>
    <m/>
  </r>
  <r>
    <s v="516189"/>
    <s v="516189-RTM-1"/>
    <n v="2510"/>
    <s v="Ladies Knitted Dress RCS CV/PES/EL , 3 assorted."/>
    <n v="4"/>
    <s v="23/26"/>
    <s v="21/26"/>
    <s v="LKASIA"/>
    <s v="23"/>
    <s v="21"/>
    <x v="0"/>
    <m/>
  </r>
  <r>
    <s v="516189"/>
    <s v="516189-KOP-1"/>
    <n v="2510"/>
    <s v="Ladies Knitted Dress RCS CV/PES/EL , 3 assorted."/>
    <n v="1"/>
    <s v="23/26"/>
    <s v="21/26"/>
    <s v="LKASIA"/>
    <s v="23"/>
    <s v="21"/>
    <x v="0"/>
    <m/>
  </r>
  <r>
    <s v="516199"/>
    <s v="516199-ANR-1"/>
    <n v="2510"/>
    <s v="Ladies Leggings Leather Look GRS PES/EL , 2 assorted."/>
    <n v="4"/>
    <s v="23/26"/>
    <s v="21/26"/>
    <s v="LKASIA"/>
    <s v="23"/>
    <s v="21"/>
    <x v="0"/>
    <m/>
  </r>
  <r>
    <s v="516199"/>
    <s v="516199-KOP-1"/>
    <n v="2510"/>
    <s v="Ladies Leggings Leather Look GRS PES/EL , 2 assorted."/>
    <n v="2"/>
    <s v="23/26"/>
    <s v="21/26"/>
    <s v="LKASIA"/>
    <s v="23"/>
    <s v="21"/>
    <x v="0"/>
    <m/>
  </r>
  <r>
    <s v="516199"/>
    <s v="516199-KOP-2"/>
    <n v="2510"/>
    <s v="Ladies Leggings Leather Look GRS PES/EL , 2 assorted."/>
    <n v="2"/>
    <s v="23/26"/>
    <s v="21/26"/>
    <s v="LKASIA"/>
    <s v="23"/>
    <s v="21"/>
    <x v="0"/>
    <m/>
  </r>
  <r>
    <s v="516199"/>
    <s v="516199-RTM-1"/>
    <n v="2510"/>
    <s v="Ladies Leggings Leather Look GRS PES/EL , 2 assorted."/>
    <n v="2"/>
    <s v="23/26"/>
    <s v="21/26"/>
    <s v="LKASIA"/>
    <s v="23"/>
    <s v="21"/>
    <x v="0"/>
    <m/>
  </r>
  <r>
    <s v="516202"/>
    <s v="516202-KOP-1"/>
    <n v="2510"/>
    <s v="Men Socks OCS 5 pairs pack CO/PA/EL VA, 2 assorted."/>
    <n v="1"/>
    <s v="23/26"/>
    <s v="22/26"/>
    <s v="LKASIA"/>
    <s v="23"/>
    <s v="22"/>
    <x v="1"/>
    <m/>
  </r>
  <r>
    <s v="516202"/>
    <s v="516202-RTM-1"/>
    <n v="2510"/>
    <s v="Men Socks OCS 5 pairs pack CO/PA/EL VA, 2 assorted."/>
    <n v="2"/>
    <s v="23/26"/>
    <s v="22/26"/>
    <s v="LKASIA"/>
    <s v="23"/>
    <s v="22"/>
    <x v="1"/>
    <m/>
  </r>
  <r>
    <s v="516218"/>
    <s v="516218-KOP-1"/>
    <n v="2510"/>
    <s v="Ladies Socks OCS 5 pairs pack CO/PA/EL, 2 assorted"/>
    <n v="1"/>
    <s v="23/26"/>
    <s v="22/26"/>
    <s v="LKASIA"/>
    <s v="23"/>
    <s v="22"/>
    <x v="1"/>
    <m/>
  </r>
  <r>
    <s v="516218"/>
    <s v="516218-RTM-1"/>
    <n v="2510"/>
    <s v="Ladies Socks OCS 5 pairs pack CO/PA/EL, 2 assorted"/>
    <n v="1"/>
    <s v="23/26"/>
    <s v="22/26"/>
    <s v="LKASIA"/>
    <s v="23"/>
    <s v="22"/>
    <x v="1"/>
    <m/>
  </r>
  <r>
    <s v="518716"/>
    <s v="518716-RTM-1"/>
    <n v="2510"/>
    <s v="Decorative assortment pumpkin set of 1, set of 2, mushroom polyresin autumn, 3 assorted."/>
    <n v="2"/>
    <s v="21/26"/>
    <s v="18/26"/>
    <s v="LKASIA"/>
    <s v="21"/>
    <s v="18"/>
    <x v="3"/>
    <m/>
  </r>
  <r>
    <s v="518716"/>
    <s v="518716-KOP-1"/>
    <n v="2510"/>
    <s v="Decorative assortment pumpkin set of 1, set of 2, mushroom polyresin autumn, 3 assorted."/>
    <n v="2"/>
    <s v="21/26"/>
    <s v="18/26"/>
    <s v="LKASIA"/>
    <s v="21"/>
    <s v="18"/>
    <x v="3"/>
    <m/>
  </r>
  <r>
    <s v="515138"/>
    <s v="515138-KOP-1"/>
    <n v="2510"/>
    <s v="Adhesive hook set of 3"/>
    <n v="0.11"/>
    <s v="23/26"/>
    <s v="22/26"/>
    <s v="LKASIA"/>
    <s v="23"/>
    <s v="22"/>
    <x v="1"/>
    <m/>
  </r>
  <r>
    <s v="515139"/>
    <s v="515139-KOP-1"/>
    <n v="2510"/>
    <s v="Adhesive hooks set of 5 stainless steel/, set of 6 plastic/Suction hooks set of 3/S-shaped hooks set of 4 Adhesive hooks set of 5"/>
    <n v="0.02"/>
    <s v="23/26"/>
    <s v="22/26"/>
    <s v="LKASIA"/>
    <s v="23"/>
    <s v="22"/>
    <x v="1"/>
    <m/>
  </r>
  <r>
    <s v="515140"/>
    <s v="515140-KOP-1"/>
    <n v="2510"/>
    <s v="Adhesive hook set of 5 stainless steel/ set of 6 plastic/ suction hook set of 3/ hook S-shape set of 4 suction hook set of 3"/>
    <n v="0.06"/>
    <s v="23/26"/>
    <s v="22/26"/>
    <s v="LKASIA"/>
    <s v="23"/>
    <s v="22"/>
    <x v="1"/>
    <m/>
  </r>
  <r>
    <s v="515141"/>
    <s v="515141-KOP-1"/>
    <n v="2510"/>
    <s v="Adhesive hooks set of 5 stainless steel /, set of 6 plastic / Suction hooks set of 3 / S-shaped hooks set of 4 adhesive hooks set of 6"/>
    <n v="0.06"/>
    <s v="23/26"/>
    <s v="22/26"/>
    <s v="LKASIA"/>
    <s v="23"/>
    <s v="22"/>
    <x v="1"/>
    <m/>
  </r>
  <r>
    <s v="515142"/>
    <s v="515142-KOP-1"/>
    <n v="2510"/>
    <s v="Adhesive hooks set of 5 stainless steel/, set of 6 plastic/Suction hooks set of 3/S-shaped hooks set of 4, 4 assorted"/>
    <n v="0.3"/>
    <s v="23/26"/>
    <s v="22/26"/>
    <s v="LKASIA"/>
    <s v="23"/>
    <s v="22"/>
    <x v="1"/>
    <m/>
  </r>
  <r>
    <s v="515142"/>
    <s v="515142-RTM-1"/>
    <n v="2510"/>
    <s v="Adhesive hooks set of 5 stainless steel/, set of 6 plastic/Suction hooks set of 3/S-shaped hooks set of 4, 4 assorted"/>
    <n v="0.3"/>
    <s v="23/26"/>
    <s v="22/26"/>
    <s v="LKASIA"/>
    <s v="23"/>
    <s v="22"/>
    <x v="1"/>
    <m/>
  </r>
  <r>
    <s v="515143"/>
    <s v="515143-KOP-1"/>
    <n v="2510"/>
    <s v="Adhesive hooks set of 5 stainless steel /, set of 6 plastic / Suction hooks set of 3 / S-shaped hooks set of 4 S-shaped hooks set of 4"/>
    <n v="0.05"/>
    <s v="23/26"/>
    <s v="22/26"/>
    <s v="LKASIA"/>
    <s v="23"/>
    <s v="22"/>
    <x v="1"/>
    <m/>
  </r>
  <r>
    <s v="514440"/>
    <s v="514440-KOP-1"/>
    <n v="2510"/>
    <s v="12V cordless rotary hammer PBHAP 12 B1 (without battery and charger) Best"/>
    <n v="2"/>
    <s v="26/26"/>
    <s v="23/26"/>
    <s v="LKASIA"/>
    <s v="26"/>
    <s v="23"/>
    <x v="3"/>
    <m/>
  </r>
  <r>
    <s v="514440"/>
    <s v="514440-KOP-2"/>
    <n v="2510"/>
    <s v="12V cordless rotary hammer PBHAP 12 B1 (without battery and charger) Best"/>
    <n v="4"/>
    <s v="24/26"/>
    <s v="23/26"/>
    <s v="LKASIA"/>
    <s v="24"/>
    <s v="23"/>
    <x v="1"/>
    <m/>
  </r>
  <r>
    <s v="514440"/>
    <s v="514440-RTM-1"/>
    <n v="2510"/>
    <s v="12V cordless rotary hammer PBHAP 12 B1 (without battery and charger) Best"/>
    <n v="2"/>
    <s v="24/26"/>
    <s v="23/26"/>
    <s v="LKASIA"/>
    <s v="24"/>
    <s v="23"/>
    <x v="1"/>
    <m/>
  </r>
  <r>
    <s v="514444"/>
    <s v="514444-KOP-1"/>
    <n v="2510"/>
    <s v="12V cordless impact drill (without battery and charger) PPSBSA 12 B1 Best"/>
    <n v="2"/>
    <s v="26/26"/>
    <s v="23/26"/>
    <s v="LKASIA"/>
    <s v="26"/>
    <s v="23"/>
    <x v="3"/>
    <m/>
  </r>
  <r>
    <s v="514444"/>
    <s v="514444-KOP-2"/>
    <n v="2510"/>
    <s v="12V cordless impact drill (without battery and charger) PPSBSA 12 B1 Best"/>
    <n v="4"/>
    <s v="25/26"/>
    <s v="23/26"/>
    <s v="LKASIA"/>
    <s v="25"/>
    <s v="23"/>
    <x v="0"/>
    <m/>
  </r>
  <r>
    <s v="514444"/>
    <s v="514444-KOP-3"/>
    <n v="2510"/>
    <s v="12V cordless impact drill (without battery and charger) PPSBSA 12 B1 Best"/>
    <n v="4"/>
    <s v="24/26"/>
    <s v="23/26"/>
    <s v="LKASIA"/>
    <s v="24"/>
    <s v="23"/>
    <x v="1"/>
    <m/>
  </r>
  <r>
    <s v="514444"/>
    <s v="514444-KOP-4"/>
    <n v="2510"/>
    <s v="12V cordless impact drill (without battery and charger) PPSBSA 12 B1 Best"/>
    <n v="2"/>
    <s v="22/26"/>
    <s v="22/26"/>
    <s v="LKASIA"/>
    <s v="22"/>
    <s v="22"/>
    <x v="2"/>
    <m/>
  </r>
  <r>
    <s v="514444"/>
    <s v="514444-RTM-1"/>
    <n v="2510"/>
    <s v="12V cordless impact drill (without battery and charger) PPSBSA 12 B1 Best"/>
    <n v="4"/>
    <s v="24/26"/>
    <s v="23/26"/>
    <s v="LKASIA"/>
    <s v="24"/>
    <s v="23"/>
    <x v="1"/>
    <m/>
  </r>
  <r>
    <s v="516199"/>
    <s v="516199-RTM-2"/>
    <n v="2510"/>
    <s v="Ladies Leggings Leather Look GRS PES/EL , 2 assorted."/>
    <n v="2"/>
    <s v="24/26"/>
    <s v="21/26"/>
    <s v="LKASIA"/>
    <s v="24"/>
    <s v="21"/>
    <x v="3"/>
    <m/>
  </r>
  <r>
    <s v="541068"/>
    <s v="541068-KOP-2"/>
    <n v="2510"/>
    <s v="Pizzaofen Elektrisch SPE 2400 A1"/>
    <n v="14"/>
    <s v="32/26"/>
    <s v="21/26"/>
    <s v="TARGA"/>
    <s v="32"/>
    <s v="21"/>
    <x v="9"/>
    <m/>
  </r>
  <r>
    <s v="541068"/>
    <s v="541068-RTM-3"/>
    <n v="2510"/>
    <s v="Pizzaofen Elektrisch SPE 2400 A1"/>
    <n v="1"/>
    <s v="29/26"/>
    <s v="21/26"/>
    <s v="TARGA"/>
    <s v="29"/>
    <s v="21"/>
    <x v="7"/>
    <m/>
  </r>
  <r>
    <s v="514445"/>
    <s v="514445-KOP-1"/>
    <n v="2510"/>
    <s v="12V cordless multitool (without battery and charger) PPMFWA 12 B2 Best"/>
    <n v="2"/>
    <s v="26/26"/>
    <s v="23/26"/>
    <s v="LKASIA"/>
    <s v="26"/>
    <s v="23"/>
    <x v="3"/>
    <m/>
  </r>
  <r>
    <s v="514445"/>
    <s v="514445-KOP-2"/>
    <n v="2510"/>
    <s v="12V cordless multitool (without battery and charger) PPMFWA 12 B2 Best"/>
    <n v="2"/>
    <s v="24/26"/>
    <s v="23/26"/>
    <s v="LKASIA"/>
    <s v="24"/>
    <s v="23"/>
    <x v="1"/>
    <m/>
  </r>
  <r>
    <s v="514445"/>
    <s v="514445-RTM-1"/>
    <n v="2510"/>
    <s v="12V cordless multitool (without battery and charger) PPMFWA 12 B2 Best"/>
    <n v="2"/>
    <s v="24/26"/>
    <s v="23/26"/>
    <s v="LKASIA"/>
    <s v="24"/>
    <s v="23"/>
    <x v="1"/>
    <m/>
  </r>
  <r>
    <s v="514446"/>
    <s v="514446-KOP-1"/>
    <n v="2510"/>
    <s v="FIX10 12V Cordless angle grinder 76mm PPWSA 12 B1 (without battery and charger) Best KAT"/>
    <n v="2"/>
    <s v="26/26"/>
    <s v="23/26"/>
    <s v="LKASIA"/>
    <s v="26"/>
    <s v="23"/>
    <x v="3"/>
    <m/>
  </r>
  <r>
    <s v="514446"/>
    <s v="514446-KOP-2"/>
    <n v="2510"/>
    <s v="FIX10 12V Cordless angle grinder 76mm PPWSA 12 B1 (without battery and charger) Best KAT"/>
    <n v="2"/>
    <s v="24/26"/>
    <s v="23/26"/>
    <s v="LKASIA"/>
    <s v="24"/>
    <s v="23"/>
    <x v="1"/>
    <m/>
  </r>
  <r>
    <s v="514446"/>
    <s v="514446-RTM-1"/>
    <n v="2510"/>
    <s v="FIX10 12V Cordless angle grinder 76mm PPWSA 12 B1 (without battery and charger) Best KAT"/>
    <n v="6"/>
    <s v="24/26"/>
    <s v="23/26"/>
    <s v="LKASIA"/>
    <s v="24"/>
    <s v="23"/>
    <x v="1"/>
    <m/>
  </r>
  <r>
    <s v="514447"/>
    <s v="514447-KOP-1"/>
    <n v="2510"/>
    <s v="12V cordless drill driver starter set with 12V cordless impact wrench ¼ inch 170 Nm (with battery and charger) PBSPA 12 E4 / PDSSAP 12 B1 Best"/>
    <n v="14"/>
    <s v="24/26"/>
    <s v="23/26"/>
    <s v="LKASIA"/>
    <s v="24"/>
    <s v="23"/>
    <x v="1"/>
    <m/>
  </r>
  <r>
    <s v="514447"/>
    <s v="514447-KOP-2"/>
    <n v="2510"/>
    <s v="12V cordless drill driver starter set with 12V cordless impact wrench ¼ inch 170 Nm (with battery and charger) PBSPA 12 E4 / PDSSAP 12 B1 Best"/>
    <n v="15"/>
    <s v="24/26"/>
    <s v="23/26"/>
    <s v="LKASIA"/>
    <s v="24"/>
    <s v="23"/>
    <x v="1"/>
    <m/>
  </r>
  <r>
    <s v="514447"/>
    <s v="514447-RTM-1"/>
    <n v="2510"/>
    <s v="12V cordless drill driver starter set with 12V cordless impact wrench ¼ inch 170 Nm (with battery and charger) PBSPA 12 E4 / PDSSAP 12 B1 Best"/>
    <n v="16"/>
    <s v="22/26"/>
    <s v="22/26"/>
    <s v="LKASIA"/>
    <s v="22"/>
    <s v="22"/>
    <x v="2"/>
    <m/>
  </r>
  <r>
    <s v="514447"/>
    <s v="514447-RTM-2"/>
    <n v="2510"/>
    <s v="12V cordless drill driver starter set with 12V cordless impact wrench ¼ inch 170 Nm (with battery and charger) PBSPA 12 E4 / PDSSAP 12 B1 Best"/>
    <n v="17"/>
    <s v="24/26"/>
    <s v="23/26"/>
    <s v="LKASIA"/>
    <s v="24"/>
    <s v="23"/>
    <x v="1"/>
    <m/>
  </r>
  <r>
    <s v="525414"/>
    <s v="525414-KOP-2"/>
    <n v="2510"/>
    <s v="Hole saw set Best KAT"/>
    <n v="1"/>
    <s v="26/26"/>
    <s v="23/26"/>
    <s v="LKASIA"/>
    <s v="26"/>
    <s v="23"/>
    <x v="3"/>
    <m/>
  </r>
  <r>
    <s v="525414"/>
    <s v="525414-KOP-3"/>
    <n v="2510"/>
    <s v="Hole saw set Best KAT"/>
    <n v="2"/>
    <s v="24/26"/>
    <s v="23/26"/>
    <s v="LKASIA"/>
    <s v="24"/>
    <s v="23"/>
    <x v="1"/>
    <m/>
  </r>
  <r>
    <s v="525414"/>
    <s v="525414-RTM-2"/>
    <n v="2510"/>
    <s v="Hole saw set Best KAT"/>
    <n v="1"/>
    <s v="24/26"/>
    <s v="23/26"/>
    <s v="LKASIA"/>
    <s v="24"/>
    <s v="23"/>
    <x v="1"/>
    <m/>
  </r>
  <r>
    <s v="529446"/>
    <s v="529446-KOP-1"/>
    <n v="2510"/>
    <s v="12V Cordless orbital sander PAESP12-Li A2 / Cordless orbital sander PASSP 12-Li A2 (without battery and charger) Best orbital sander"/>
    <n v="1"/>
    <s v="24/26"/>
    <s v="23/26"/>
    <s v="LKASIA"/>
    <s v="24"/>
    <s v="23"/>
    <x v="1"/>
    <m/>
  </r>
  <r>
    <s v="529447"/>
    <s v="529447-KOP-1"/>
    <n v="2510"/>
    <s v="12V Cordless orbital sander PAESP12-Li A2 / Cordless orbital sander PASSP 12-Li A2 (without battery and charger) Best orbital sander"/>
    <n v="1"/>
    <s v="24/26"/>
    <s v="23/26"/>
    <s v="LKASIA"/>
    <s v="24"/>
    <s v="23"/>
    <x v="1"/>
    <m/>
  </r>
  <r>
    <s v="516478"/>
    <s v="516478-KOP-1"/>
    <n v="2510"/>
    <s v="Ladies House Socks with Anti-slip Silicone Nubs 2 pairs pack CO/PA/EL, 2 assorted"/>
    <n v="1"/>
    <s v="24/26"/>
    <s v="23/26"/>
    <s v="LKASIA"/>
    <s v="24"/>
    <s v="23"/>
    <x v="1"/>
    <m/>
  </r>
  <r>
    <s v="516478"/>
    <s v="516478-RTM-1"/>
    <n v="2510"/>
    <s v="Ladies House Socks with Anti-slip Silicone Nubs 2 pairs pack CO/PA/EL, 2 assorted"/>
    <n v="1"/>
    <s v="25/26"/>
    <s v="23/26"/>
    <s v="LKASIA"/>
    <s v="25"/>
    <s v="23"/>
    <x v="0"/>
    <m/>
  </r>
  <r>
    <s v="516478"/>
    <s v="516478-RTM-2"/>
    <n v="2510"/>
    <s v="Ladies House Socks with Anti-slip Silicone Nubs 2 pairs pack CO/PA/EL, 2 assorted"/>
    <n v="1"/>
    <s v="24/26"/>
    <s v="23/26"/>
    <s v="LKASIA"/>
    <s v="24"/>
    <s v="23"/>
    <x v="1"/>
    <m/>
  </r>
  <r>
    <s v="516608"/>
    <s v="516608-ANR-1"/>
    <n v="2510"/>
    <s v="Ladies Cuddle Socks Popcorn 2 pairs pack PES/PA/EL, 2 assorted"/>
    <n v="2"/>
    <s v="25/26"/>
    <s v="21/26"/>
    <s v="LKASIA"/>
    <s v="25"/>
    <s v="21"/>
    <x v="4"/>
    <m/>
  </r>
  <r>
    <s v="516608"/>
    <s v="516608-KOP-1"/>
    <n v="2510"/>
    <s v="Ladies Cuddle Socks Popcorn 2 pairs pack PES/PA/EL, 2 assorted"/>
    <n v="1"/>
    <s v="24/26"/>
    <s v="21/26"/>
    <s v="LKASIA"/>
    <s v="24"/>
    <s v="21"/>
    <x v="3"/>
    <m/>
  </r>
  <r>
    <s v="516608"/>
    <s v="516608-KOP-2"/>
    <n v="2510"/>
    <s v="Ladies Cuddle Socks Popcorn 2 pairs pack PES/PA/EL, 2 assorted"/>
    <n v="1"/>
    <s v="25/26"/>
    <s v="21/26"/>
    <s v="LKASIA"/>
    <s v="25"/>
    <s v="21"/>
    <x v="4"/>
    <m/>
  </r>
  <r>
    <s v="516608"/>
    <s v="516608-RTM-1"/>
    <n v="2510"/>
    <s v="Ladies Cuddle Socks Popcorn 2 pairs pack PES/PA/EL, 2 assorted"/>
    <n v="2"/>
    <s v="25/26"/>
    <s v="21/26"/>
    <s v="LKASIA"/>
    <s v="25"/>
    <s v="21"/>
    <x v="4"/>
    <m/>
  </r>
  <r>
    <s v="515060"/>
    <s v="515060-ANR-1"/>
    <n v="2505"/>
    <s v="Bed linen CVC fine Flannelette normal size CO/PES Good VA , 4 assorted"/>
    <n v="22"/>
    <s v="25/26"/>
    <s v="23/21"/>
    <s v="LKASIA"/>
    <s v="25"/>
    <s v="23"/>
    <x v="0"/>
    <m/>
  </r>
  <r>
    <s v="515060"/>
    <s v="515060-KOP-1"/>
    <n v="2507"/>
    <s v="Bed linen CVC fine Flannelette normal size CO/PES Good VA , 4 assorted"/>
    <n v="2"/>
    <s v="24/26"/>
    <s v="23/23"/>
    <s v="LKASIA"/>
    <s v="24"/>
    <s v="23"/>
    <x v="1"/>
    <m/>
  </r>
  <r>
    <s v="515060"/>
    <s v="515060-KOP-2"/>
    <n v="2508"/>
    <s v="Bed linen CVC fine Flannelette normal size CO/PES Good VA , 4 assorted"/>
    <n v="2"/>
    <s v="25/26"/>
    <s v="23/24"/>
    <s v="LKASIA"/>
    <s v="25"/>
    <s v="23"/>
    <x v="0"/>
    <m/>
  </r>
  <r>
    <s v="515060"/>
    <s v="515060-RTM-1"/>
    <n v="2509"/>
    <s v="Bed linen CVC fine Flannelette normal size CO/PES Good VA , 4 assorted"/>
    <n v="2"/>
    <s v="25/26"/>
    <s v="23/25"/>
    <s v="LKASIA"/>
    <s v="25"/>
    <s v="23"/>
    <x v="0"/>
    <m/>
  </r>
  <r>
    <s v="515061"/>
    <s v="515061-ANR-1"/>
    <n v="2510"/>
    <s v="Fitted Sheet CVC Fine Flannelette 90-100x200x27cm CO / PES Good VA, 3 assorted."/>
    <n v="8"/>
    <s v="25/26"/>
    <s v="23/22"/>
    <s v="LKASIA"/>
    <s v="25"/>
    <s v="23"/>
    <x v="0"/>
    <m/>
  </r>
  <r>
    <s v="515061"/>
    <s v="515061-KOP-1"/>
    <n v="2510"/>
    <s v="Fitted Sheet CVC Fine Flannelette 90-100x200x27cm CO / PES Good VA, 3 assorted."/>
    <n v="2"/>
    <s v="24/26"/>
    <s v="23/24"/>
    <s v="LKASIA"/>
    <s v="24"/>
    <s v="23"/>
    <x v="1"/>
    <m/>
  </r>
  <r>
    <s v="515061"/>
    <s v="515061-KOP-2"/>
    <n v="2510"/>
    <s v="Fitted Sheet CVC Fine Flannelette 90-100x200x27cm CO / PES Good VA, 3 assorted."/>
    <n v="1"/>
    <s v="25/26"/>
    <s v="23/25"/>
    <s v="LKASIA"/>
    <s v="25"/>
    <s v="23"/>
    <x v="0"/>
    <m/>
  </r>
  <r>
    <s v="515061"/>
    <s v="515061-RTM-1"/>
    <n v="2510"/>
    <s v="Fitted Sheet CVC Fine Flannelette 90-100x200x27cm CO / PES Good VA, 3 assorted."/>
    <n v="1"/>
    <s v="24/26"/>
    <s v="23/26"/>
    <s v="LKASIA"/>
    <s v="24"/>
    <s v="23"/>
    <x v="1"/>
    <m/>
  </r>
  <r>
    <s v="515062"/>
    <s v="515062-ANR-1"/>
    <n v="2510"/>
    <s v="Fitted Sheet CVC Fine Flannelette 140-160x200x27cm CO / PES Good VA, 3 assorted."/>
    <n v="8"/>
    <s v="25/26"/>
    <s v="23/21"/>
    <s v="LKASIA"/>
    <s v="25"/>
    <s v="23"/>
    <x v="0"/>
    <m/>
  </r>
  <r>
    <s v="515062"/>
    <s v="515062-KOP-1"/>
    <n v="2510"/>
    <s v="Fitted Sheet CVC Fine Flannelette 140-160x200x27cm CO / PES Good VA, 3 assorted."/>
    <n v="2"/>
    <s v="24/26"/>
    <s v="23/23"/>
    <s v="LKASIA"/>
    <s v="24"/>
    <s v="23"/>
    <x v="1"/>
    <m/>
  </r>
  <r>
    <s v="515062"/>
    <s v="515062-KOP-2"/>
    <n v="2510"/>
    <s v="Fitted Sheet CVC Fine Flannelette 140-160x200x27cm CO / PES Good VA, 3 assorted."/>
    <n v="1"/>
    <s v="25/26"/>
    <s v="23/24"/>
    <s v="LKASIA"/>
    <s v="25"/>
    <s v="23"/>
    <x v="0"/>
    <m/>
  </r>
  <r>
    <s v="515062"/>
    <s v="515062-RTM-1"/>
    <n v="2510"/>
    <s v="Fitted Sheet CVC Fine Flannelette 140-160x200x27cm CO / PES Good VA, 3 assorted."/>
    <n v="1"/>
    <s v="24/26"/>
    <s v="23/25"/>
    <s v="LKASIA"/>
    <s v="24"/>
    <s v="23"/>
    <x v="1"/>
    <m/>
  </r>
  <r>
    <s v="515063"/>
    <s v="515063-ANR-1"/>
    <n v="2510"/>
    <s v="Pillowcase CVC fine Flannelette _x000a_side sleeper pillow 40x145cm CO/PES Good VA , 4 assorted"/>
    <n v="2"/>
    <s v="25/26"/>
    <s v="23/25"/>
    <s v="LKASIA"/>
    <s v="25"/>
    <s v="23"/>
    <x v="0"/>
    <m/>
  </r>
  <r>
    <s v="515063"/>
    <s v="515063-RTM-1"/>
    <n v="2510"/>
    <s v="Pillowcase CVC fine Flannelette _x000a_side sleeper pillow 40x145cm CO/PES Good VA , 4 assorted"/>
    <n v="1"/>
    <s v="24/26"/>
    <s v="23/26"/>
    <s v="LKASIA"/>
    <s v="24"/>
    <s v="23"/>
    <x v="1"/>
    <m/>
  </r>
  <r>
    <s v="515064"/>
    <s v="515064-ANR-1"/>
    <n v="2510"/>
    <s v="Fitted Sheet CVC Fine Flannelette 180-200x200x27cm CO / PES Good VA, 3 assorted."/>
    <n v="12"/>
    <s v="25/26"/>
    <s v="23/22"/>
    <s v="LKASIA"/>
    <s v="25"/>
    <s v="23"/>
    <x v="0"/>
    <m/>
  </r>
  <r>
    <s v="515064"/>
    <s v="515064-KOP-1"/>
    <n v="2510"/>
    <s v="Fitted Sheet CVC Fine Flannelette 180-200x200x27cm CO / PES Good VA, 3 assorted."/>
    <n v="2"/>
    <s v="24/26"/>
    <s v="23/24"/>
    <s v="LKASIA"/>
    <s v="24"/>
    <s v="23"/>
    <x v="1"/>
    <m/>
  </r>
  <r>
    <s v="515064"/>
    <s v="515064-KOP-2"/>
    <n v="2510"/>
    <s v="Fitted Sheet CVC Fine Flannelette 180-200x200x27cm CO / PES Good VA, 3 assorted."/>
    <n v="1"/>
    <s v="25/26"/>
    <s v="23/25"/>
    <s v="LKASIA"/>
    <s v="25"/>
    <s v="23"/>
    <x v="0"/>
    <m/>
  </r>
  <r>
    <s v="515064"/>
    <s v="515064-RTM-1"/>
    <n v="2510"/>
    <s v="Fitted Sheet CVC Fine Flannelette 180-200x200x27cm CO / PES Good VA, 3 assorted."/>
    <n v="1"/>
    <s v="24/26"/>
    <s v="23/26"/>
    <s v="LKASIA"/>
    <s v="24"/>
    <s v="23"/>
    <x v="1"/>
    <m/>
  </r>
  <r>
    <s v="515065"/>
    <s v="515065-ANR-1"/>
    <n v="2510"/>
    <s v="Bed Linen CVC Fine Flannelette Plus Size CO/PES Good VA, 4 assorted"/>
    <n v="10"/>
    <s v="25/26"/>
    <s v="23/26"/>
    <s v="LKASIA"/>
    <s v="25"/>
    <s v="23"/>
    <x v="0"/>
    <m/>
  </r>
  <r>
    <s v="515065"/>
    <s v="515065-KOP-1"/>
    <n v="2510"/>
    <s v="Bed Linen CVC Fine Flannelette Plus Size CO/PES Good VA, 4 assorted"/>
    <n v="2"/>
    <s v="24/26"/>
    <s v="23/26"/>
    <s v="LKASIA"/>
    <s v="24"/>
    <s v="23"/>
    <x v="1"/>
    <m/>
  </r>
  <r>
    <s v="515065"/>
    <s v="515065-KOP-2"/>
    <n v="2510"/>
    <s v="Bed Linen CVC Fine Flannelette Plus Size CO/PES Good VA, 4 assorted"/>
    <n v="1"/>
    <s v="25/26"/>
    <s v="23/26"/>
    <s v="LKASIA"/>
    <s v="25"/>
    <s v="23"/>
    <x v="0"/>
    <m/>
  </r>
  <r>
    <s v="515065"/>
    <s v="515065-RTM-1"/>
    <n v="2510"/>
    <s v="Bed Linen CVC Fine Flannelette Plus Size CO/PES Good VA, 4 assorted"/>
    <n v="2"/>
    <s v="24/26"/>
    <s v="23/26"/>
    <s v="LKASIA"/>
    <s v="24"/>
    <s v="23"/>
    <x v="1"/>
    <m/>
  </r>
  <r>
    <s v="515071"/>
    <s v="515071-ANR-1"/>
    <n v="2510"/>
    <s v="Bed Linen CVC Fine Flannelette King Size CO/PES Good VA, 4 assorted"/>
    <n v="6"/>
    <s v="25/26"/>
    <s v="23/24"/>
    <s v="LKASIA"/>
    <s v="25"/>
    <s v="23"/>
    <x v="0"/>
    <m/>
  </r>
  <r>
    <s v="515071"/>
    <s v="515071-KOP-1"/>
    <n v="2510"/>
    <s v="Bed Linen CVC Fine Flannelette King Size CO/PES Good VA, 4 assorted"/>
    <n v="1"/>
    <s v="24/26"/>
    <s v="23/25"/>
    <s v="LKASIA"/>
    <s v="24"/>
    <s v="23"/>
    <x v="1"/>
    <m/>
  </r>
  <r>
    <s v="515071"/>
    <s v="515071-RTM-1"/>
    <n v="2510"/>
    <s v="Bed Linen CVC Fine Flannelette King Size CO/PES Good VA, 4 assorted"/>
    <n v="1"/>
    <s v="24/26"/>
    <s v="23/26"/>
    <s v="LKASIA"/>
    <s v="24"/>
    <s v="23"/>
    <x v="1"/>
    <m/>
  </r>
  <r>
    <s v="515072"/>
    <s v="515072-ANR-1"/>
    <n v="2510"/>
    <s v="Pillowcase CVC Fine Flannelette Special Size 2 pcs pack Good CO / PES VA, 4 assorted"/>
    <n v="2"/>
    <s v="25/26"/>
    <s v="23/22"/>
    <s v="LKASIA"/>
    <s v="25"/>
    <s v="23"/>
    <x v="0"/>
    <m/>
  </r>
  <r>
    <s v="515072"/>
    <s v="515072-KOP-1"/>
    <n v="2510"/>
    <s v="Pillowcase CVC Fine Flannelette Special Size 2 pcs pack Good CO / PES VA, 4 assorted"/>
    <n v="1"/>
    <s v="24/26"/>
    <s v="23/23"/>
    <s v="LKASIA"/>
    <s v="24"/>
    <s v="23"/>
    <x v="1"/>
    <m/>
  </r>
  <r>
    <s v="515072"/>
    <s v="515072-KOP-2"/>
    <n v="2510"/>
    <s v="Pillowcase CVC Fine Flannelette Special Size 2 pcs pack Good CO / PES VA, 4 assorted"/>
    <n v="1"/>
    <s v="25/26"/>
    <s v="23/24"/>
    <s v="LKASIA"/>
    <s v="25"/>
    <s v="23"/>
    <x v="0"/>
    <m/>
  </r>
  <r>
    <s v="515072"/>
    <s v="515072-RTM-1"/>
    <n v="2510"/>
    <s v="Pillowcase CVC Fine Flannelette Special Size 2 pcs pack Good CO / PES VA, 4 assorted"/>
    <n v="1"/>
    <s v="24/26"/>
    <s v="23/25"/>
    <s v="LKASIA"/>
    <s v="24"/>
    <s v="23"/>
    <x v="1"/>
    <m/>
  </r>
  <r>
    <s v="525160"/>
    <s v="525160-RTM-5"/>
    <n v="2510"/>
    <s v="Vacuum storage bag M/ L 10 pcs / Travel-Set incl. Pump S / M / L 10 pcs KAT"/>
    <n v="2"/>
    <s v="20/26"/>
    <s v="18/26"/>
    <s v="LKASIA"/>
    <s v="20"/>
    <s v="18"/>
    <x v="0"/>
    <m/>
  </r>
  <r>
    <s v="525160"/>
    <s v="525160-ANR-2"/>
    <n v="2510"/>
    <s v="Vacuum storage bag M/ L 10 pcs / Travel-Set incl. Pump S / M / L 10 pcs KAT"/>
    <n v="8"/>
    <s v="20/26"/>
    <s v="18/26"/>
    <s v="LKASIA"/>
    <s v="20"/>
    <s v="18"/>
    <x v="0"/>
    <m/>
  </r>
  <r>
    <s v="525160"/>
    <s v="525160-KOP-4"/>
    <n v="2510"/>
    <s v="Vacuum storage bag M/ L 10 pcs / Travel-Set incl. Pump S / M / L 10 pcs KAT"/>
    <n v="6"/>
    <s v="20/26"/>
    <s v="18/26"/>
    <s v="LKASIA"/>
    <s v="20"/>
    <s v="18"/>
    <x v="0"/>
    <m/>
  </r>
  <r>
    <s v="525160"/>
    <s v="525160-KOP-5"/>
    <n v="2510"/>
    <s v="Vacuum storage bag M/ L 10 pcs / Travel-Set incl. Pump S / M / L 10 pcs KAT"/>
    <n v="6"/>
    <s v="20/26"/>
    <s v="18/26"/>
    <s v="LKASIA"/>
    <s v="20"/>
    <s v="18"/>
    <x v="0"/>
    <m/>
  </r>
  <r>
    <s v="497001"/>
    <s v="497001-KOP-4"/>
    <n v="2510"/>
    <s v="Axle trestles set of 2 KAT"/>
    <n v="3"/>
    <s v="24/26"/>
    <s v="20/24"/>
    <s v="LKASIA"/>
    <s v="24"/>
    <s v="20"/>
    <x v="4"/>
    <m/>
  </r>
  <r>
    <s v="497001"/>
    <s v="497001-KOP-5"/>
    <n v="2510"/>
    <s v="Axle trestles set of 2 KAT"/>
    <n v="2"/>
    <s v="25/26"/>
    <s v="20/25"/>
    <s v="LKASIA"/>
    <s v="25"/>
    <s v="20"/>
    <x v="11"/>
    <m/>
  </r>
  <r>
    <s v="497001"/>
    <s v="497001-RTM-3"/>
    <n v="2510"/>
    <s v="Axle trestles set of 2 KAT"/>
    <n v="4"/>
    <s v="24/26"/>
    <s v="20/26"/>
    <s v="LKASIA"/>
    <s v="24"/>
    <s v="20"/>
    <x v="4"/>
    <m/>
  </r>
  <r>
    <s v="500555"/>
    <s v="500555-KOP-1"/>
    <n v="2510"/>
    <s v="Stehleuchte 3flammig TEIWAZ KAT 2fach sort."/>
    <n v="1"/>
    <s v="20/26"/>
    <s v="20/26"/>
    <s v="LKASIA"/>
    <s v="20"/>
    <s v="20"/>
    <x v="2"/>
    <m/>
  </r>
  <r>
    <s v="500555"/>
    <s v="500555-RTM-2"/>
    <n v="2510"/>
    <s v="Stehleuchte 3flammig TEIWAZ KAT 2fach sort."/>
    <n v="4"/>
    <s v="20/26"/>
    <s v="20/26"/>
    <s v="LKASIA"/>
    <s v="20"/>
    <s v="20"/>
    <x v="2"/>
    <m/>
  </r>
  <r>
    <s v="500555"/>
    <s v="500555-RTM-3"/>
    <n v="2510"/>
    <s v="Stehleuchte 3flammig TEIWAZ KAT 2fach sort."/>
    <n v="4"/>
    <s v="20/26"/>
    <s v="20/26"/>
    <s v="LKASIA"/>
    <s v="20"/>
    <s v="20"/>
    <x v="2"/>
    <m/>
  </r>
  <r>
    <s v="500563"/>
    <s v="500563-KOP-2"/>
    <n v="2510"/>
    <s v="Deckenspot / Wand-/Deckenschiene 3flammig TEIWAZ KAT 4fach sort."/>
    <n v="1"/>
    <s v="20/26"/>
    <s v="20/26"/>
    <s v="LKASIA"/>
    <s v="20"/>
    <s v="20"/>
    <x v="2"/>
    <m/>
  </r>
  <r>
    <s v="500563"/>
    <s v="500563-RTM-2"/>
    <n v="2510"/>
    <s v="Deckenspot / Wand-/Deckenschiene 3flammig TEIWAZ KAT 4fach sort."/>
    <n v="1"/>
    <s v="20/26"/>
    <s v="20/26"/>
    <s v="LKASIA"/>
    <s v="20"/>
    <s v="20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" cacheId="210" applyNumberFormats="0" applyBorderFormats="0" applyFontFormats="0" applyPatternFormats="0" applyAlignmentFormats="0" applyWidthHeightFormats="0" dataCaption="" updatedVersion="8" compact="0" compactData="0">
  <location ref="A1:B17" firstHeaderRow="1" firstDataRow="1" firstDataCol="1"/>
  <pivotFields count="12">
    <pivotField name="IAN" compact="0" outline="0" multipleItemSelectionAllowed="1" showAll="0"/>
    <pivotField name="Lot (if avaible)" compact="0" outline="0" multipleItemSelectionAllowed="1" showAll="0"/>
    <pivotField name="Batch" compact="0" outline="0" multipleItemSelectionAllowed="1" showAll="0"/>
    <pivotField name="Article description" compact="0" outline="0" multipleItemSelectionAllowed="1" showAll="0"/>
    <pivotField name="TEU (can be shipped earlier &amp; immediatly)" dataField="1" compact="0" outline="0" multipleItemSelectionAllowed="1" showAll="0"/>
    <pivotField name="Official FOB week" compact="0" outline="0" multipleItemSelectionAllowed="1" showAll="0"/>
    <pivotField name="Possible CRD" compact="0" outline="0" multipleItemSelectionAllowed="1" showAll="0"/>
    <pivotField name="Supplier" compact="0" outline="0" multipleItemSelectionAllowed="1" showAll="0"/>
    <pivotField name="official fob week2" compact="0" outline="0" multipleItemSelectionAllowed="1" showAll="0"/>
    <pivotField name="possible crd2" compact="0" outline="0" multipleItemSelectionAllowed="1" showAll="0"/>
    <pivotField name="Differenz Wochen" axis="axisRow" compact="0" outline="0" multipleItemSelectionAllowed="1" showAll="0" sortType="ascending">
      <items count="16">
        <item x="2"/>
        <item x="1"/>
        <item x="0"/>
        <item x="3"/>
        <item x="4"/>
        <item x="11"/>
        <item x="5"/>
        <item x="6"/>
        <item x="7"/>
        <item x="8"/>
        <item x="14"/>
        <item x="9"/>
        <item x="12"/>
        <item x="10"/>
        <item x="13"/>
        <item t="default"/>
      </items>
    </pivotField>
    <pivotField name="Comment" compact="0" outline="0" multipleItemSelectionAllowed="1"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EU (can be shipped earlier &amp; immediatly)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8"/>
  <sheetViews>
    <sheetView tabSelected="1" workbookViewId="0">
      <pane ySplit="1" topLeftCell="A2" activePane="bottomLeft" state="frozen"/>
      <selection pane="bottomLeft" activeCell="Q11" sqref="Q11"/>
    </sheetView>
  </sheetViews>
  <sheetFormatPr defaultColWidth="12.5703125" defaultRowHeight="15" customHeight="1"/>
  <cols>
    <col min="1" max="1" width="7" bestFit="1" customWidth="1"/>
    <col min="2" max="2" width="11" customWidth="1"/>
    <col min="3" max="3" width="4.85546875" customWidth="1"/>
    <col min="4" max="4" width="46.28515625" customWidth="1"/>
    <col min="5" max="5" width="20.42578125" customWidth="1"/>
    <col min="6" max="6" width="16.7109375" customWidth="1"/>
    <col min="7" max="7" width="13.42578125" customWidth="1"/>
    <col min="8" max="8" width="14" customWidth="1"/>
    <col min="9" max="10" width="4.28515625" customWidth="1"/>
    <col min="11" max="11" width="7.85546875" customWidth="1"/>
    <col min="12" max="14" width="6.42578125" customWidth="1"/>
    <col min="15" max="15" width="37.7109375" bestFit="1" customWidth="1"/>
    <col min="16" max="23" width="6.42578125" customWidth="1"/>
    <col min="24" max="25" width="7.42578125" customWidth="1"/>
  </cols>
  <sheetData>
    <row r="1" spans="1:15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1" t="s">
        <v>7</v>
      </c>
      <c r="I1" s="4" t="s">
        <v>5</v>
      </c>
      <c r="J1" s="2" t="s">
        <v>6</v>
      </c>
      <c r="K1" s="3" t="s">
        <v>8</v>
      </c>
      <c r="L1" s="1" t="s">
        <v>9</v>
      </c>
      <c r="M1" s="9" t="s">
        <v>10</v>
      </c>
      <c r="N1" s="9" t="s">
        <v>11</v>
      </c>
      <c r="O1" s="9" t="s">
        <v>12</v>
      </c>
    </row>
    <row r="2" spans="1:15" ht="14.25" customHeight="1">
      <c r="A2" s="5" t="str">
        <f>LEFT(B2,6)</f>
        <v>508826</v>
      </c>
      <c r="B2" s="2" t="s">
        <v>13</v>
      </c>
      <c r="C2" s="1">
        <v>2507</v>
      </c>
      <c r="D2" s="1" t="s">
        <v>14</v>
      </c>
      <c r="E2" s="1">
        <v>1</v>
      </c>
      <c r="F2" s="1" t="s">
        <v>15</v>
      </c>
      <c r="G2" s="2" t="s">
        <v>16</v>
      </c>
      <c r="H2" s="1" t="s">
        <v>17</v>
      </c>
      <c r="I2" s="2" t="str">
        <f t="shared" ref="I2:J2" si="0">LEFT(F2,2)</f>
        <v>15</v>
      </c>
      <c r="J2" s="2" t="str">
        <f t="shared" si="0"/>
        <v>13</v>
      </c>
      <c r="K2" s="1">
        <f t="shared" ref="K2:K256" si="1">I2-J2</f>
        <v>2</v>
      </c>
      <c r="M2" t="s">
        <v>18</v>
      </c>
      <c r="N2" t="s">
        <v>19</v>
      </c>
      <c r="O2" t="s">
        <v>20</v>
      </c>
    </row>
    <row r="3" spans="1:15" ht="14.25" customHeight="1">
      <c r="A3" s="5" t="str">
        <f t="shared" ref="A3:A66" si="2">LEFT(B3,6)</f>
        <v>494644</v>
      </c>
      <c r="B3" s="2" t="s">
        <v>21</v>
      </c>
      <c r="C3" s="1">
        <v>2504</v>
      </c>
      <c r="D3" s="1" t="s">
        <v>22</v>
      </c>
      <c r="E3" s="1">
        <v>2</v>
      </c>
      <c r="F3" s="1" t="s">
        <v>15</v>
      </c>
      <c r="G3" s="2" t="s">
        <v>23</v>
      </c>
      <c r="H3" s="1" t="s">
        <v>17</v>
      </c>
      <c r="I3" s="2" t="str">
        <f t="shared" ref="I3:J3" si="3">LEFT(F3,2)</f>
        <v>15</v>
      </c>
      <c r="J3" s="2" t="str">
        <f t="shared" si="3"/>
        <v>14</v>
      </c>
      <c r="K3" s="1">
        <f t="shared" si="1"/>
        <v>1</v>
      </c>
      <c r="M3" t="s">
        <v>24</v>
      </c>
      <c r="N3" t="s">
        <v>19</v>
      </c>
      <c r="O3" t="s">
        <v>20</v>
      </c>
    </row>
    <row r="4" spans="1:15" ht="14.25" customHeight="1">
      <c r="A4" s="5" t="str">
        <f t="shared" si="2"/>
        <v>520545</v>
      </c>
      <c r="B4" s="2" t="s">
        <v>25</v>
      </c>
      <c r="C4" s="1">
        <v>2510</v>
      </c>
      <c r="D4" s="1" t="s">
        <v>26</v>
      </c>
      <c r="E4" s="1">
        <v>4</v>
      </c>
      <c r="F4" s="1" t="s">
        <v>15</v>
      </c>
      <c r="G4" s="2" t="s">
        <v>15</v>
      </c>
      <c r="H4" s="1" t="s">
        <v>17</v>
      </c>
      <c r="I4" s="2" t="str">
        <f t="shared" ref="I4:J4" si="4">LEFT(F4,2)</f>
        <v>15</v>
      </c>
      <c r="J4" s="2" t="str">
        <f t="shared" si="4"/>
        <v>15</v>
      </c>
      <c r="K4" s="1">
        <f t="shared" si="1"/>
        <v>0</v>
      </c>
      <c r="M4" t="s">
        <v>27</v>
      </c>
      <c r="N4" t="s">
        <v>19</v>
      </c>
      <c r="O4" t="s">
        <v>20</v>
      </c>
    </row>
    <row r="5" spans="1:15" ht="14.25" customHeight="1">
      <c r="A5" s="5" t="str">
        <f t="shared" si="2"/>
        <v>520545</v>
      </c>
      <c r="B5" s="2" t="s">
        <v>28</v>
      </c>
      <c r="C5" s="1">
        <v>2510</v>
      </c>
      <c r="D5" s="1" t="s">
        <v>26</v>
      </c>
      <c r="E5" s="1">
        <v>8</v>
      </c>
      <c r="F5" s="1" t="s">
        <v>15</v>
      </c>
      <c r="G5" s="2" t="s">
        <v>15</v>
      </c>
      <c r="H5" s="1" t="s">
        <v>17</v>
      </c>
      <c r="I5" s="2" t="str">
        <f t="shared" ref="I5:J5" si="5">LEFT(F5,2)</f>
        <v>15</v>
      </c>
      <c r="J5" s="2" t="str">
        <f t="shared" si="5"/>
        <v>15</v>
      </c>
      <c r="K5" s="1">
        <f t="shared" si="1"/>
        <v>0</v>
      </c>
      <c r="M5" t="s">
        <v>27</v>
      </c>
      <c r="N5" t="s">
        <v>19</v>
      </c>
      <c r="O5" t="s">
        <v>20</v>
      </c>
    </row>
    <row r="6" spans="1:15" ht="14.25" customHeight="1">
      <c r="A6" s="5" t="str">
        <f t="shared" si="2"/>
        <v>520545</v>
      </c>
      <c r="B6" s="2" t="s">
        <v>29</v>
      </c>
      <c r="C6" s="1">
        <v>2510</v>
      </c>
      <c r="D6" s="1" t="s">
        <v>26</v>
      </c>
      <c r="E6" s="1">
        <v>18</v>
      </c>
      <c r="F6" s="1" t="s">
        <v>15</v>
      </c>
      <c r="G6" s="2" t="s">
        <v>15</v>
      </c>
      <c r="H6" s="1" t="s">
        <v>17</v>
      </c>
      <c r="I6" s="2" t="str">
        <f t="shared" ref="I6:J6" si="6">LEFT(F6,2)</f>
        <v>15</v>
      </c>
      <c r="J6" s="2" t="str">
        <f t="shared" si="6"/>
        <v>15</v>
      </c>
      <c r="K6" s="1">
        <f t="shared" si="1"/>
        <v>0</v>
      </c>
      <c r="M6" t="s">
        <v>27</v>
      </c>
      <c r="N6" t="s">
        <v>19</v>
      </c>
      <c r="O6" t="s">
        <v>20</v>
      </c>
    </row>
    <row r="7" spans="1:15" ht="14.25" customHeight="1">
      <c r="A7" s="5" t="str">
        <f t="shared" si="2"/>
        <v>520545</v>
      </c>
      <c r="B7" s="2" t="s">
        <v>30</v>
      </c>
      <c r="C7" s="1">
        <v>2510</v>
      </c>
      <c r="D7" s="1" t="s">
        <v>26</v>
      </c>
      <c r="E7" s="1">
        <v>2</v>
      </c>
      <c r="F7" s="1" t="s">
        <v>15</v>
      </c>
      <c r="G7" s="2" t="s">
        <v>15</v>
      </c>
      <c r="H7" s="1" t="s">
        <v>17</v>
      </c>
      <c r="I7" s="2" t="str">
        <f t="shared" ref="I7:J7" si="7">LEFT(F7,2)</f>
        <v>15</v>
      </c>
      <c r="J7" s="2" t="str">
        <f t="shared" si="7"/>
        <v>15</v>
      </c>
      <c r="K7" s="1">
        <f t="shared" si="1"/>
        <v>0</v>
      </c>
      <c r="M7" t="s">
        <v>27</v>
      </c>
      <c r="N7" t="s">
        <v>19</v>
      </c>
      <c r="O7" t="s">
        <v>20</v>
      </c>
    </row>
    <row r="8" spans="1:15" ht="14.25" customHeight="1">
      <c r="A8" s="5" t="str">
        <f t="shared" si="2"/>
        <v>539652</v>
      </c>
      <c r="B8" s="2" t="s">
        <v>31</v>
      </c>
      <c r="C8" s="1">
        <v>2510</v>
      </c>
      <c r="D8" s="1" t="s">
        <v>32</v>
      </c>
      <c r="E8" s="1">
        <v>6</v>
      </c>
      <c r="F8" s="1" t="s">
        <v>33</v>
      </c>
      <c r="G8" s="2" t="s">
        <v>23</v>
      </c>
      <c r="H8" s="1" t="s">
        <v>17</v>
      </c>
      <c r="I8" s="2" t="str">
        <f t="shared" ref="I8:J8" si="8">LEFT(F8,2)</f>
        <v>16</v>
      </c>
      <c r="J8" s="2" t="str">
        <f t="shared" si="8"/>
        <v>14</v>
      </c>
      <c r="K8" s="1">
        <f t="shared" si="1"/>
        <v>2</v>
      </c>
      <c r="M8" t="s">
        <v>34</v>
      </c>
      <c r="N8" t="s">
        <v>19</v>
      </c>
      <c r="O8" t="s">
        <v>20</v>
      </c>
    </row>
    <row r="9" spans="1:15" ht="14.25" customHeight="1">
      <c r="A9" s="5" t="str">
        <f t="shared" si="2"/>
        <v>539652</v>
      </c>
      <c r="B9" s="2" t="s">
        <v>35</v>
      </c>
      <c r="C9" s="1">
        <v>2510</v>
      </c>
      <c r="D9" s="1" t="s">
        <v>32</v>
      </c>
      <c r="E9" s="1">
        <v>11</v>
      </c>
      <c r="F9" s="1" t="s">
        <v>15</v>
      </c>
      <c r="G9" s="2" t="s">
        <v>15</v>
      </c>
      <c r="H9" s="1" t="s">
        <v>17</v>
      </c>
      <c r="I9" s="2" t="str">
        <f t="shared" ref="I9:J9" si="9">LEFT(F9,2)</f>
        <v>15</v>
      </c>
      <c r="J9" s="2" t="str">
        <f t="shared" si="9"/>
        <v>15</v>
      </c>
      <c r="K9" s="1">
        <f t="shared" si="1"/>
        <v>0</v>
      </c>
      <c r="M9" t="s">
        <v>34</v>
      </c>
      <c r="N9" t="s">
        <v>19</v>
      </c>
      <c r="O9" t="s">
        <v>20</v>
      </c>
    </row>
    <row r="10" spans="1:15" ht="14.25" customHeight="1">
      <c r="A10" s="5" t="str">
        <f t="shared" si="2"/>
        <v>539652</v>
      </c>
      <c r="B10" s="2" t="s">
        <v>36</v>
      </c>
      <c r="C10" s="1">
        <v>2510</v>
      </c>
      <c r="D10" s="1" t="s">
        <v>32</v>
      </c>
      <c r="E10" s="1">
        <v>17</v>
      </c>
      <c r="F10" s="1" t="s">
        <v>15</v>
      </c>
      <c r="G10" s="2" t="s">
        <v>23</v>
      </c>
      <c r="H10" s="1" t="s">
        <v>17</v>
      </c>
      <c r="I10" s="2" t="str">
        <f t="shared" ref="I10:J10" si="10">LEFT(F10,2)</f>
        <v>15</v>
      </c>
      <c r="J10" s="2" t="str">
        <f t="shared" si="10"/>
        <v>14</v>
      </c>
      <c r="K10" s="1">
        <f t="shared" si="1"/>
        <v>1</v>
      </c>
      <c r="M10" t="s">
        <v>34</v>
      </c>
      <c r="N10" t="s">
        <v>19</v>
      </c>
      <c r="O10" t="s">
        <v>20</v>
      </c>
    </row>
    <row r="11" spans="1:15" ht="14.25" customHeight="1">
      <c r="A11" s="5" t="str">
        <f t="shared" si="2"/>
        <v>486031</v>
      </c>
      <c r="B11" s="2" t="s">
        <v>37</v>
      </c>
      <c r="C11" s="1">
        <v>2510</v>
      </c>
      <c r="D11" s="1" t="s">
        <v>38</v>
      </c>
      <c r="E11" s="1">
        <v>34</v>
      </c>
      <c r="F11" s="1" t="s">
        <v>39</v>
      </c>
      <c r="G11" s="2" t="s">
        <v>15</v>
      </c>
      <c r="H11" s="1" t="s">
        <v>17</v>
      </c>
      <c r="I11" s="2" t="str">
        <f t="shared" ref="I11:J11" si="11">LEFT(F11,2)</f>
        <v>16</v>
      </c>
      <c r="J11" s="2" t="str">
        <f t="shared" si="11"/>
        <v>15</v>
      </c>
      <c r="K11" s="1">
        <f t="shared" si="1"/>
        <v>1</v>
      </c>
      <c r="M11" t="s">
        <v>18</v>
      </c>
      <c r="N11" t="s">
        <v>19</v>
      </c>
      <c r="O11" t="s">
        <v>20</v>
      </c>
    </row>
    <row r="12" spans="1:15" ht="14.25" customHeight="1">
      <c r="A12" s="5" t="str">
        <f t="shared" si="2"/>
        <v>486031</v>
      </c>
      <c r="B12" s="2" t="s">
        <v>40</v>
      </c>
      <c r="C12" s="1">
        <v>2510</v>
      </c>
      <c r="D12" s="1" t="s">
        <v>38</v>
      </c>
      <c r="E12" s="1">
        <v>2</v>
      </c>
      <c r="F12" s="1" t="s">
        <v>33</v>
      </c>
      <c r="G12" s="2" t="s">
        <v>15</v>
      </c>
      <c r="H12" s="1" t="s">
        <v>17</v>
      </c>
      <c r="I12" s="2" t="str">
        <f t="shared" ref="I12:J12" si="12">LEFT(F12,2)</f>
        <v>16</v>
      </c>
      <c r="J12" s="2" t="str">
        <f t="shared" si="12"/>
        <v>15</v>
      </c>
      <c r="K12" s="1">
        <f t="shared" si="1"/>
        <v>1</v>
      </c>
      <c r="M12" t="s">
        <v>18</v>
      </c>
      <c r="N12" t="s">
        <v>19</v>
      </c>
      <c r="O12" t="s">
        <v>20</v>
      </c>
    </row>
    <row r="13" spans="1:15" ht="14.25" customHeight="1">
      <c r="A13" s="5" t="str">
        <f t="shared" si="2"/>
        <v>486033</v>
      </c>
      <c r="B13" s="2" t="s">
        <v>41</v>
      </c>
      <c r="C13" s="1">
        <v>2510</v>
      </c>
      <c r="D13" s="1" t="s">
        <v>42</v>
      </c>
      <c r="E13" s="1">
        <v>3</v>
      </c>
      <c r="F13" s="1" t="s">
        <v>33</v>
      </c>
      <c r="G13" s="2" t="s">
        <v>15</v>
      </c>
      <c r="H13" s="1" t="s">
        <v>17</v>
      </c>
      <c r="I13" s="2" t="str">
        <f t="shared" ref="I13:J13" si="13">LEFT(F13,2)</f>
        <v>16</v>
      </c>
      <c r="J13" s="2" t="str">
        <f t="shared" si="13"/>
        <v>15</v>
      </c>
      <c r="K13" s="1">
        <f t="shared" si="1"/>
        <v>1</v>
      </c>
      <c r="M13" t="s">
        <v>18</v>
      </c>
      <c r="N13" t="s">
        <v>19</v>
      </c>
      <c r="O13" t="s">
        <v>20</v>
      </c>
    </row>
    <row r="14" spans="1:15" ht="14.25" customHeight="1">
      <c r="A14" s="5" t="str">
        <f t="shared" si="2"/>
        <v>547366</v>
      </c>
      <c r="B14" s="2" t="s">
        <v>43</v>
      </c>
      <c r="C14" s="1">
        <v>2510</v>
      </c>
      <c r="D14" s="1" t="s">
        <v>44</v>
      </c>
      <c r="E14" s="1">
        <v>1</v>
      </c>
      <c r="F14" s="1" t="s">
        <v>33</v>
      </c>
      <c r="G14" s="2" t="s">
        <v>15</v>
      </c>
      <c r="H14" s="1" t="s">
        <v>17</v>
      </c>
      <c r="I14" s="2" t="str">
        <f t="shared" ref="I14:J14" si="14">LEFT(F14,2)</f>
        <v>16</v>
      </c>
      <c r="J14" s="2" t="str">
        <f t="shared" si="14"/>
        <v>15</v>
      </c>
      <c r="K14" s="1">
        <f t="shared" si="1"/>
        <v>1</v>
      </c>
      <c r="M14" t="s">
        <v>24</v>
      </c>
      <c r="N14" t="s">
        <v>19</v>
      </c>
      <c r="O14" t="s">
        <v>20</v>
      </c>
    </row>
    <row r="15" spans="1:15" ht="14.25" customHeight="1">
      <c r="A15" s="5" t="str">
        <f t="shared" si="2"/>
        <v>547367</v>
      </c>
      <c r="B15" s="2" t="s">
        <v>45</v>
      </c>
      <c r="C15" s="1">
        <v>2510</v>
      </c>
      <c r="D15" s="1" t="s">
        <v>46</v>
      </c>
      <c r="E15" s="1">
        <v>2</v>
      </c>
      <c r="F15" s="1" t="s">
        <v>33</v>
      </c>
      <c r="G15" s="2" t="s">
        <v>23</v>
      </c>
      <c r="H15" s="1" t="s">
        <v>17</v>
      </c>
      <c r="I15" s="2" t="str">
        <f t="shared" ref="I15:J15" si="15">LEFT(F15,2)</f>
        <v>16</v>
      </c>
      <c r="J15" s="2" t="str">
        <f t="shared" si="15"/>
        <v>14</v>
      </c>
      <c r="K15" s="1">
        <f t="shared" si="1"/>
        <v>2</v>
      </c>
      <c r="M15" t="s">
        <v>34</v>
      </c>
      <c r="N15" t="s">
        <v>19</v>
      </c>
      <c r="O15" t="s">
        <v>20</v>
      </c>
    </row>
    <row r="16" spans="1:15" ht="14.25" customHeight="1">
      <c r="A16" s="5" t="str">
        <f t="shared" si="2"/>
        <v>515342</v>
      </c>
      <c r="B16" s="2" t="s">
        <v>47</v>
      </c>
      <c r="C16" s="1">
        <v>2510</v>
      </c>
      <c r="D16" s="1" t="s">
        <v>48</v>
      </c>
      <c r="E16" s="1">
        <v>11</v>
      </c>
      <c r="F16" s="1" t="s">
        <v>33</v>
      </c>
      <c r="G16" s="2" t="s">
        <v>15</v>
      </c>
      <c r="H16" s="1" t="s">
        <v>17</v>
      </c>
      <c r="I16" s="2" t="str">
        <f t="shared" ref="I16:J16" si="16">LEFT(F16,2)</f>
        <v>16</v>
      </c>
      <c r="J16" s="2" t="str">
        <f t="shared" si="16"/>
        <v>15</v>
      </c>
      <c r="K16" s="1">
        <f t="shared" si="1"/>
        <v>1</v>
      </c>
      <c r="M16" t="s">
        <v>49</v>
      </c>
      <c r="N16" t="s">
        <v>50</v>
      </c>
      <c r="O16" t="s">
        <v>20</v>
      </c>
    </row>
    <row r="17" spans="1:23" ht="14.25" customHeight="1">
      <c r="A17" s="5" t="str">
        <f t="shared" si="2"/>
        <v>515342</v>
      </c>
      <c r="B17" s="2" t="s">
        <v>51</v>
      </c>
      <c r="C17" s="1">
        <v>2510</v>
      </c>
      <c r="D17" s="1" t="s">
        <v>48</v>
      </c>
      <c r="E17" s="1">
        <v>2</v>
      </c>
      <c r="F17" s="1" t="s">
        <v>33</v>
      </c>
      <c r="G17" s="2" t="s">
        <v>15</v>
      </c>
      <c r="H17" s="1" t="s">
        <v>17</v>
      </c>
      <c r="I17" s="2" t="str">
        <f t="shared" ref="I17:J17" si="17">LEFT(F17,2)</f>
        <v>16</v>
      </c>
      <c r="J17" s="2" t="str">
        <f t="shared" si="17"/>
        <v>15</v>
      </c>
      <c r="K17" s="1">
        <f t="shared" si="1"/>
        <v>1</v>
      </c>
      <c r="M17" t="s">
        <v>49</v>
      </c>
      <c r="N17" t="s">
        <v>50</v>
      </c>
      <c r="O17" t="s">
        <v>20</v>
      </c>
    </row>
    <row r="18" spans="1:23" ht="14.25" customHeight="1">
      <c r="A18" s="5" t="str">
        <f t="shared" si="2"/>
        <v>502294</v>
      </c>
      <c r="B18" s="2" t="s">
        <v>52</v>
      </c>
      <c r="C18" s="1">
        <v>2504</v>
      </c>
      <c r="D18" s="1" t="s">
        <v>53</v>
      </c>
      <c r="E18" s="1">
        <v>2</v>
      </c>
      <c r="F18" s="1" t="s">
        <v>33</v>
      </c>
      <c r="G18" s="2" t="s">
        <v>23</v>
      </c>
      <c r="H18" s="1" t="s">
        <v>17</v>
      </c>
      <c r="I18" s="2" t="str">
        <f t="shared" ref="I18:J18" si="18">LEFT(F18,2)</f>
        <v>16</v>
      </c>
      <c r="J18" s="2" t="str">
        <f t="shared" si="18"/>
        <v>14</v>
      </c>
      <c r="K18" s="1">
        <f t="shared" si="1"/>
        <v>2</v>
      </c>
      <c r="M18" t="s">
        <v>18</v>
      </c>
      <c r="N18" t="s">
        <v>19</v>
      </c>
      <c r="O18" t="s">
        <v>20</v>
      </c>
    </row>
    <row r="19" spans="1:23" ht="14.25" customHeight="1">
      <c r="A19" s="5" t="str">
        <f t="shared" si="2"/>
        <v>500524</v>
      </c>
      <c r="B19" s="2" t="s">
        <v>54</v>
      </c>
      <c r="C19" s="1">
        <v>2510</v>
      </c>
      <c r="D19" s="1" t="s">
        <v>55</v>
      </c>
      <c r="E19" s="1">
        <v>4</v>
      </c>
      <c r="F19" s="1" t="s">
        <v>33</v>
      </c>
      <c r="G19" s="2" t="s">
        <v>16</v>
      </c>
      <c r="H19" s="1" t="s">
        <v>17</v>
      </c>
      <c r="I19" s="2" t="str">
        <f t="shared" ref="I19:J19" si="19">LEFT(F19,2)</f>
        <v>16</v>
      </c>
      <c r="J19" s="2" t="str">
        <f t="shared" si="19"/>
        <v>13</v>
      </c>
      <c r="K19" s="1">
        <f t="shared" si="1"/>
        <v>3</v>
      </c>
      <c r="M19" t="s">
        <v>56</v>
      </c>
      <c r="N19" t="s">
        <v>19</v>
      </c>
      <c r="O19" t="s">
        <v>20</v>
      </c>
    </row>
    <row r="20" spans="1:23" ht="14.25" customHeight="1">
      <c r="A20" s="5" t="str">
        <f t="shared" si="2"/>
        <v>500524</v>
      </c>
      <c r="B20" s="2" t="s">
        <v>57</v>
      </c>
      <c r="C20" s="1">
        <v>2510</v>
      </c>
      <c r="D20" s="1" t="s">
        <v>55</v>
      </c>
      <c r="E20" s="1">
        <v>3</v>
      </c>
      <c r="F20" s="1" t="s">
        <v>33</v>
      </c>
      <c r="G20" s="2" t="s">
        <v>16</v>
      </c>
      <c r="H20" s="1" t="s">
        <v>17</v>
      </c>
      <c r="I20" s="2" t="str">
        <f t="shared" ref="I20:J20" si="20">LEFT(F20,2)</f>
        <v>16</v>
      </c>
      <c r="J20" s="2" t="str">
        <f t="shared" si="20"/>
        <v>13</v>
      </c>
      <c r="K20" s="1">
        <f t="shared" si="1"/>
        <v>3</v>
      </c>
      <c r="M20" t="s">
        <v>56</v>
      </c>
      <c r="N20" t="s">
        <v>19</v>
      </c>
      <c r="O20" t="s">
        <v>20</v>
      </c>
    </row>
    <row r="21" spans="1:23" ht="14.25" customHeight="1">
      <c r="A21" s="5" t="str">
        <f t="shared" si="2"/>
        <v>500524</v>
      </c>
      <c r="B21" s="2" t="s">
        <v>58</v>
      </c>
      <c r="C21" s="1">
        <v>2510</v>
      </c>
      <c r="D21" s="1" t="s">
        <v>55</v>
      </c>
      <c r="E21" s="1">
        <v>1</v>
      </c>
      <c r="F21" s="1" t="s">
        <v>33</v>
      </c>
      <c r="G21" s="2" t="s">
        <v>16</v>
      </c>
      <c r="H21" s="1" t="s">
        <v>17</v>
      </c>
      <c r="I21" s="2" t="str">
        <f t="shared" ref="I21:J21" si="21">LEFT(F21,2)</f>
        <v>16</v>
      </c>
      <c r="J21" s="2" t="str">
        <f t="shared" si="21"/>
        <v>13</v>
      </c>
      <c r="K21" s="1">
        <f t="shared" si="1"/>
        <v>3</v>
      </c>
      <c r="M21" t="s">
        <v>56</v>
      </c>
      <c r="N21" t="s">
        <v>19</v>
      </c>
      <c r="O21" t="s">
        <v>20</v>
      </c>
    </row>
    <row r="22" spans="1:23" ht="14.25" customHeight="1">
      <c r="A22" s="5" t="str">
        <f t="shared" si="2"/>
        <v>495524</v>
      </c>
      <c r="B22" s="2" t="s">
        <v>59</v>
      </c>
      <c r="C22" s="1">
        <v>2504</v>
      </c>
      <c r="D22" s="1" t="s">
        <v>60</v>
      </c>
      <c r="E22" s="1">
        <v>2</v>
      </c>
      <c r="F22" s="1" t="s">
        <v>33</v>
      </c>
      <c r="G22" s="2" t="s">
        <v>23</v>
      </c>
      <c r="H22" s="1" t="s">
        <v>17</v>
      </c>
      <c r="I22" s="2" t="str">
        <f t="shared" ref="I22:J22" si="22">LEFT(F22,2)</f>
        <v>16</v>
      </c>
      <c r="J22" s="2" t="str">
        <f t="shared" si="22"/>
        <v>14</v>
      </c>
      <c r="K22" s="1">
        <f t="shared" si="1"/>
        <v>2</v>
      </c>
      <c r="M22" t="s">
        <v>18</v>
      </c>
      <c r="N22" t="s">
        <v>19</v>
      </c>
      <c r="O22" t="s">
        <v>20</v>
      </c>
    </row>
    <row r="23" spans="1:23" ht="14.25" customHeight="1">
      <c r="A23" s="5" t="str">
        <f t="shared" si="2"/>
        <v>515327</v>
      </c>
      <c r="B23" s="2" t="s">
        <v>61</v>
      </c>
      <c r="C23" s="1">
        <v>2510</v>
      </c>
      <c r="D23" s="1" t="s">
        <v>62</v>
      </c>
      <c r="E23" s="1">
        <v>34</v>
      </c>
      <c r="F23" s="1" t="s">
        <v>33</v>
      </c>
      <c r="G23" s="2" t="s">
        <v>15</v>
      </c>
      <c r="H23" s="1" t="s">
        <v>17</v>
      </c>
      <c r="I23" s="2" t="str">
        <f t="shared" ref="I23:J23" si="23">LEFT(F23,2)</f>
        <v>16</v>
      </c>
      <c r="J23" s="2" t="str">
        <f t="shared" si="23"/>
        <v>15</v>
      </c>
      <c r="K23" s="1">
        <f t="shared" si="1"/>
        <v>1</v>
      </c>
      <c r="M23" t="s">
        <v>49</v>
      </c>
      <c r="N23" t="s">
        <v>50</v>
      </c>
      <c r="O23" t="s">
        <v>20</v>
      </c>
    </row>
    <row r="24" spans="1:23" ht="14.25" customHeight="1">
      <c r="A24" s="5" t="str">
        <f t="shared" si="2"/>
        <v>515327</v>
      </c>
      <c r="B24" s="2" t="s">
        <v>63</v>
      </c>
      <c r="C24" s="1">
        <v>2510</v>
      </c>
      <c r="D24" s="1" t="s">
        <v>62</v>
      </c>
      <c r="E24" s="1">
        <v>2</v>
      </c>
      <c r="F24" s="1" t="s">
        <v>64</v>
      </c>
      <c r="G24" s="2" t="s">
        <v>15</v>
      </c>
      <c r="H24" s="1" t="s">
        <v>17</v>
      </c>
      <c r="I24" s="2" t="str">
        <f t="shared" ref="I24:J24" si="24">LEFT(F24,2)</f>
        <v>17</v>
      </c>
      <c r="J24" s="2" t="str">
        <f t="shared" si="24"/>
        <v>15</v>
      </c>
      <c r="K24" s="1">
        <f t="shared" si="1"/>
        <v>2</v>
      </c>
      <c r="M24" t="s">
        <v>49</v>
      </c>
      <c r="N24" t="s">
        <v>50</v>
      </c>
      <c r="O24" t="s">
        <v>20</v>
      </c>
    </row>
    <row r="25" spans="1:23" ht="14.25" customHeight="1">
      <c r="A25" s="5" t="str">
        <f t="shared" si="2"/>
        <v>515327</v>
      </c>
      <c r="B25" s="2" t="s">
        <v>65</v>
      </c>
      <c r="C25" s="1">
        <v>2510</v>
      </c>
      <c r="D25" s="1" t="s">
        <v>62</v>
      </c>
      <c r="E25" s="1">
        <v>9</v>
      </c>
      <c r="F25" s="1" t="s">
        <v>33</v>
      </c>
      <c r="G25" s="2" t="s">
        <v>15</v>
      </c>
      <c r="H25" s="1" t="s">
        <v>17</v>
      </c>
      <c r="I25" s="2" t="str">
        <f t="shared" ref="I25:J25" si="25">LEFT(F25,2)</f>
        <v>16</v>
      </c>
      <c r="J25" s="2" t="str">
        <f t="shared" si="25"/>
        <v>15</v>
      </c>
      <c r="K25" s="1">
        <f t="shared" si="1"/>
        <v>1</v>
      </c>
      <c r="M25" t="s">
        <v>49</v>
      </c>
      <c r="N25" t="s">
        <v>50</v>
      </c>
      <c r="O25" t="s">
        <v>20</v>
      </c>
    </row>
    <row r="26" spans="1:23" ht="14.25" customHeight="1">
      <c r="A26" s="5" t="str">
        <f t="shared" si="2"/>
        <v>515327</v>
      </c>
      <c r="B26" s="2" t="s">
        <v>66</v>
      </c>
      <c r="C26" s="1">
        <v>2510</v>
      </c>
      <c r="D26" s="1" t="s">
        <v>62</v>
      </c>
      <c r="E26" s="1">
        <v>9</v>
      </c>
      <c r="F26" s="1" t="s">
        <v>33</v>
      </c>
      <c r="G26" s="1" t="s">
        <v>15</v>
      </c>
      <c r="H26" s="1" t="s">
        <v>17</v>
      </c>
      <c r="I26" s="2" t="str">
        <f t="shared" ref="I26:J26" si="26">LEFT(F26,2)</f>
        <v>16</v>
      </c>
      <c r="J26" s="2" t="str">
        <f t="shared" si="26"/>
        <v>15</v>
      </c>
      <c r="K26" s="1">
        <f t="shared" si="1"/>
        <v>1</v>
      </c>
      <c r="M26" t="s">
        <v>49</v>
      </c>
      <c r="N26" t="s">
        <v>50</v>
      </c>
      <c r="O26" t="s">
        <v>20</v>
      </c>
      <c r="P26" s="1"/>
      <c r="Q26" s="1"/>
      <c r="R26" s="1"/>
      <c r="S26" s="1"/>
      <c r="T26" s="1"/>
      <c r="U26" s="1"/>
      <c r="V26" s="1"/>
      <c r="W26" s="1"/>
    </row>
    <row r="27" spans="1:23" ht="14.25" customHeight="1">
      <c r="A27" s="5" t="str">
        <f t="shared" si="2"/>
        <v>500526</v>
      </c>
      <c r="B27" s="2" t="s">
        <v>67</v>
      </c>
      <c r="C27" s="1">
        <v>2507</v>
      </c>
      <c r="D27" s="1" t="s">
        <v>68</v>
      </c>
      <c r="E27" s="1">
        <v>2</v>
      </c>
      <c r="F27" s="1" t="s">
        <v>64</v>
      </c>
      <c r="G27" s="2" t="s">
        <v>15</v>
      </c>
      <c r="H27" s="1" t="s">
        <v>17</v>
      </c>
      <c r="I27" s="2" t="str">
        <f t="shared" ref="I27:J27" si="27">LEFT(F27,2)</f>
        <v>17</v>
      </c>
      <c r="J27" s="2" t="str">
        <f t="shared" si="27"/>
        <v>15</v>
      </c>
      <c r="K27" s="1">
        <f t="shared" si="1"/>
        <v>2</v>
      </c>
      <c r="M27" t="s">
        <v>18</v>
      </c>
      <c r="N27" t="s">
        <v>19</v>
      </c>
      <c r="O27" t="s">
        <v>20</v>
      </c>
    </row>
    <row r="28" spans="1:23" ht="14.25" customHeight="1">
      <c r="A28" s="5" t="str">
        <f t="shared" si="2"/>
        <v>500526</v>
      </c>
      <c r="B28" s="2" t="s">
        <v>69</v>
      </c>
      <c r="C28" s="1">
        <v>2508</v>
      </c>
      <c r="D28" s="1" t="s">
        <v>68</v>
      </c>
      <c r="E28" s="1">
        <v>1</v>
      </c>
      <c r="F28" s="1" t="s">
        <v>33</v>
      </c>
      <c r="G28" s="2" t="s">
        <v>15</v>
      </c>
      <c r="H28" s="1" t="s">
        <v>17</v>
      </c>
      <c r="I28" s="2" t="str">
        <f t="shared" ref="I28:J28" si="28">LEFT(F28,2)</f>
        <v>16</v>
      </c>
      <c r="J28" s="2" t="str">
        <f t="shared" si="28"/>
        <v>15</v>
      </c>
      <c r="K28" s="1">
        <f t="shared" si="1"/>
        <v>1</v>
      </c>
      <c r="M28" t="s">
        <v>18</v>
      </c>
      <c r="N28" t="s">
        <v>19</v>
      </c>
      <c r="O28" t="s">
        <v>20</v>
      </c>
    </row>
    <row r="29" spans="1:23" ht="14.25" customHeight="1">
      <c r="A29" s="5" t="str">
        <f t="shared" si="2"/>
        <v>500526</v>
      </c>
      <c r="B29" s="2" t="s">
        <v>70</v>
      </c>
      <c r="C29" s="1">
        <v>2509</v>
      </c>
      <c r="D29" s="1" t="s">
        <v>68</v>
      </c>
      <c r="E29" s="1">
        <v>1</v>
      </c>
      <c r="F29" s="1" t="s">
        <v>64</v>
      </c>
      <c r="G29" s="2" t="s">
        <v>15</v>
      </c>
      <c r="H29" s="1" t="s">
        <v>17</v>
      </c>
      <c r="I29" s="2" t="str">
        <f t="shared" ref="I29:J29" si="29">LEFT(F29,2)</f>
        <v>17</v>
      </c>
      <c r="J29" s="2" t="str">
        <f t="shared" si="29"/>
        <v>15</v>
      </c>
      <c r="K29" s="1">
        <f t="shared" si="1"/>
        <v>2</v>
      </c>
      <c r="M29" t="s">
        <v>24</v>
      </c>
      <c r="N29" t="s">
        <v>19</v>
      </c>
      <c r="O29" t="s">
        <v>20</v>
      </c>
    </row>
    <row r="30" spans="1:23" ht="14.25" customHeight="1">
      <c r="A30" s="5" t="str">
        <f t="shared" si="2"/>
        <v>500526</v>
      </c>
      <c r="B30" s="2" t="s">
        <v>71</v>
      </c>
      <c r="C30" s="1">
        <v>2510</v>
      </c>
      <c r="D30" s="1" t="s">
        <v>68</v>
      </c>
      <c r="E30" s="1">
        <v>1</v>
      </c>
      <c r="F30" s="1" t="s">
        <v>33</v>
      </c>
      <c r="G30" s="2" t="s">
        <v>15</v>
      </c>
      <c r="H30" s="1" t="s">
        <v>17</v>
      </c>
      <c r="I30" s="2" t="str">
        <f t="shared" ref="I30:J30" si="30">LEFT(F30,2)</f>
        <v>16</v>
      </c>
      <c r="J30" s="2" t="str">
        <f t="shared" si="30"/>
        <v>15</v>
      </c>
      <c r="K30" s="1">
        <f t="shared" si="1"/>
        <v>1</v>
      </c>
      <c r="M30" t="s">
        <v>18</v>
      </c>
      <c r="N30" t="s">
        <v>19</v>
      </c>
      <c r="O30" t="s">
        <v>20</v>
      </c>
    </row>
    <row r="31" spans="1:23" ht="14.25" customHeight="1">
      <c r="A31" s="5" t="str">
        <f t="shared" si="2"/>
        <v>514780</v>
      </c>
      <c r="B31" s="2" t="s">
        <v>72</v>
      </c>
      <c r="C31" s="1">
        <v>2510</v>
      </c>
      <c r="D31" s="1" t="s">
        <v>73</v>
      </c>
      <c r="E31" s="1">
        <v>7</v>
      </c>
      <c r="F31" s="1" t="s">
        <v>64</v>
      </c>
      <c r="G31" s="2" t="s">
        <v>15</v>
      </c>
      <c r="H31" s="1" t="s">
        <v>17</v>
      </c>
      <c r="I31" s="2" t="str">
        <f t="shared" ref="I31:J31" si="31">LEFT(F31,2)</f>
        <v>17</v>
      </c>
      <c r="J31" s="2" t="str">
        <f t="shared" si="31"/>
        <v>15</v>
      </c>
      <c r="K31" s="1">
        <f t="shared" si="1"/>
        <v>2</v>
      </c>
      <c r="M31" t="s">
        <v>24</v>
      </c>
      <c r="N31" t="s">
        <v>19</v>
      </c>
      <c r="O31" t="s">
        <v>20</v>
      </c>
    </row>
    <row r="32" spans="1:23" ht="14.25" customHeight="1">
      <c r="A32" s="5" t="str">
        <f t="shared" si="2"/>
        <v>514780</v>
      </c>
      <c r="B32" s="2" t="s">
        <v>74</v>
      </c>
      <c r="C32" s="1">
        <v>2510</v>
      </c>
      <c r="D32" s="1" t="s">
        <v>73</v>
      </c>
      <c r="E32" s="1">
        <v>7</v>
      </c>
      <c r="F32" s="1" t="s">
        <v>33</v>
      </c>
      <c r="G32" s="2" t="s">
        <v>15</v>
      </c>
      <c r="H32" s="1" t="s">
        <v>17</v>
      </c>
      <c r="I32" s="2" t="str">
        <f t="shared" ref="I32:J32" si="32">LEFT(F32,2)</f>
        <v>16</v>
      </c>
      <c r="J32" s="2" t="str">
        <f t="shared" si="32"/>
        <v>15</v>
      </c>
      <c r="K32" s="1">
        <f t="shared" si="1"/>
        <v>1</v>
      </c>
      <c r="M32" t="s">
        <v>24</v>
      </c>
      <c r="N32" t="s">
        <v>19</v>
      </c>
      <c r="O32" t="s">
        <v>20</v>
      </c>
    </row>
    <row r="33" spans="1:15" ht="14.25" customHeight="1">
      <c r="A33" s="5" t="str">
        <f t="shared" si="2"/>
        <v>514780</v>
      </c>
      <c r="B33" s="2" t="s">
        <v>75</v>
      </c>
      <c r="C33" s="1">
        <v>2510</v>
      </c>
      <c r="D33" s="1" t="s">
        <v>73</v>
      </c>
      <c r="E33" s="1">
        <v>8</v>
      </c>
      <c r="F33" s="1" t="s">
        <v>33</v>
      </c>
      <c r="G33" s="2" t="s">
        <v>15</v>
      </c>
      <c r="H33" s="1" t="s">
        <v>17</v>
      </c>
      <c r="I33" s="2" t="str">
        <f t="shared" ref="I33:J33" si="33">LEFT(F33,2)</f>
        <v>16</v>
      </c>
      <c r="J33" s="2" t="str">
        <f t="shared" si="33"/>
        <v>15</v>
      </c>
      <c r="K33" s="1">
        <f t="shared" si="1"/>
        <v>1</v>
      </c>
      <c r="M33" t="s">
        <v>24</v>
      </c>
      <c r="N33" t="s">
        <v>19</v>
      </c>
      <c r="O33" t="s">
        <v>20</v>
      </c>
    </row>
    <row r="34" spans="1:15" ht="14.25" customHeight="1">
      <c r="A34" s="5" t="str">
        <f t="shared" si="2"/>
        <v>514780</v>
      </c>
      <c r="B34" s="2" t="s">
        <v>76</v>
      </c>
      <c r="C34" s="1">
        <v>2510</v>
      </c>
      <c r="D34" s="1" t="s">
        <v>73</v>
      </c>
      <c r="E34" s="1">
        <v>4</v>
      </c>
      <c r="F34" s="1" t="s">
        <v>33</v>
      </c>
      <c r="G34" s="2" t="s">
        <v>15</v>
      </c>
      <c r="H34" s="1" t="s">
        <v>17</v>
      </c>
      <c r="I34" s="2" t="str">
        <f t="shared" ref="I34:J34" si="34">LEFT(F34,2)</f>
        <v>16</v>
      </c>
      <c r="J34" s="2" t="str">
        <f t="shared" si="34"/>
        <v>15</v>
      </c>
      <c r="K34" s="1">
        <f t="shared" si="1"/>
        <v>1</v>
      </c>
      <c r="M34" t="s">
        <v>24</v>
      </c>
      <c r="N34" t="s">
        <v>19</v>
      </c>
      <c r="O34" t="s">
        <v>20</v>
      </c>
    </row>
    <row r="35" spans="1:15" ht="14.25" customHeight="1">
      <c r="A35" s="5" t="str">
        <f t="shared" si="2"/>
        <v>551163</v>
      </c>
      <c r="B35" s="2" t="s">
        <v>77</v>
      </c>
      <c r="C35" s="1">
        <v>2510</v>
      </c>
      <c r="D35" s="1" t="s">
        <v>78</v>
      </c>
      <c r="E35" s="1">
        <v>3</v>
      </c>
      <c r="F35" s="1" t="s">
        <v>64</v>
      </c>
      <c r="G35" s="2" t="s">
        <v>33</v>
      </c>
      <c r="H35" s="1" t="s">
        <v>17</v>
      </c>
      <c r="I35" s="2" t="str">
        <f t="shared" ref="I35:J35" si="35">LEFT(F35,2)</f>
        <v>17</v>
      </c>
      <c r="J35" s="2" t="str">
        <f t="shared" si="35"/>
        <v>16</v>
      </c>
      <c r="K35" s="1">
        <f t="shared" si="1"/>
        <v>1</v>
      </c>
      <c r="M35" t="s">
        <v>18</v>
      </c>
      <c r="N35" t="s">
        <v>19</v>
      </c>
      <c r="O35" t="s">
        <v>20</v>
      </c>
    </row>
    <row r="36" spans="1:15" ht="14.25" customHeight="1">
      <c r="A36" s="5" t="str">
        <f t="shared" si="2"/>
        <v>495857</v>
      </c>
      <c r="B36" s="2" t="s">
        <v>79</v>
      </c>
      <c r="C36" s="1">
        <v>2503</v>
      </c>
      <c r="D36" s="1" t="s">
        <v>80</v>
      </c>
      <c r="E36" s="1">
        <v>9</v>
      </c>
      <c r="F36" s="1" t="s">
        <v>81</v>
      </c>
      <c r="G36" s="2" t="s">
        <v>23</v>
      </c>
      <c r="H36" s="1" t="s">
        <v>17</v>
      </c>
      <c r="I36" s="2" t="str">
        <f t="shared" ref="I36:J36" si="36">LEFT(F36,2)</f>
        <v>18</v>
      </c>
      <c r="J36" s="2" t="str">
        <f t="shared" si="36"/>
        <v>14</v>
      </c>
      <c r="K36" s="1">
        <f t="shared" si="1"/>
        <v>4</v>
      </c>
      <c r="M36" t="s">
        <v>18</v>
      </c>
      <c r="N36" t="s">
        <v>19</v>
      </c>
      <c r="O36" t="s">
        <v>20</v>
      </c>
    </row>
    <row r="37" spans="1:15" ht="14.25" customHeight="1">
      <c r="A37" s="5" t="str">
        <f t="shared" si="2"/>
        <v>495857</v>
      </c>
      <c r="B37" s="2" t="s">
        <v>82</v>
      </c>
      <c r="C37" s="1">
        <v>2504</v>
      </c>
      <c r="D37" s="1" t="s">
        <v>80</v>
      </c>
      <c r="E37" s="1">
        <v>4</v>
      </c>
      <c r="F37" s="1" t="s">
        <v>64</v>
      </c>
      <c r="G37" s="2" t="s">
        <v>15</v>
      </c>
      <c r="H37" s="1" t="s">
        <v>17</v>
      </c>
      <c r="I37" s="2" t="str">
        <f t="shared" ref="I37:J37" si="37">LEFT(F37,2)</f>
        <v>17</v>
      </c>
      <c r="J37" s="2" t="str">
        <f t="shared" si="37"/>
        <v>15</v>
      </c>
      <c r="K37" s="1">
        <f t="shared" si="1"/>
        <v>2</v>
      </c>
      <c r="M37" t="s">
        <v>18</v>
      </c>
      <c r="N37" t="s">
        <v>19</v>
      </c>
      <c r="O37" t="s">
        <v>20</v>
      </c>
    </row>
    <row r="38" spans="1:15" ht="14.25" customHeight="1">
      <c r="A38" s="5" t="str">
        <f t="shared" si="2"/>
        <v>496459</v>
      </c>
      <c r="B38" s="2" t="s">
        <v>83</v>
      </c>
      <c r="C38" s="1">
        <v>2504</v>
      </c>
      <c r="D38" s="1" t="s">
        <v>84</v>
      </c>
      <c r="E38" s="1">
        <v>3</v>
      </c>
      <c r="F38" s="1" t="s">
        <v>64</v>
      </c>
      <c r="G38" s="2" t="s">
        <v>15</v>
      </c>
      <c r="H38" s="1" t="s">
        <v>17</v>
      </c>
      <c r="I38" s="2" t="str">
        <f t="shared" ref="I38:J38" si="38">LEFT(F38,2)</f>
        <v>17</v>
      </c>
      <c r="J38" s="2" t="str">
        <f t="shared" si="38"/>
        <v>15</v>
      </c>
      <c r="K38" s="1">
        <f t="shared" si="1"/>
        <v>2</v>
      </c>
      <c r="M38" t="s">
        <v>18</v>
      </c>
      <c r="N38" t="s">
        <v>19</v>
      </c>
      <c r="O38" t="s">
        <v>20</v>
      </c>
    </row>
    <row r="39" spans="1:15" ht="14.25" customHeight="1">
      <c r="A39" s="5" t="str">
        <f t="shared" si="2"/>
        <v>504703</v>
      </c>
      <c r="B39" s="2" t="s">
        <v>85</v>
      </c>
      <c r="C39" s="1">
        <v>2504</v>
      </c>
      <c r="D39" s="1" t="s">
        <v>86</v>
      </c>
      <c r="E39" s="1">
        <v>2</v>
      </c>
      <c r="F39" s="1" t="s">
        <v>64</v>
      </c>
      <c r="G39" s="2" t="s">
        <v>23</v>
      </c>
      <c r="H39" s="1" t="s">
        <v>17</v>
      </c>
      <c r="I39" s="2" t="str">
        <f t="shared" ref="I39:J39" si="39">LEFT(F39,2)</f>
        <v>17</v>
      </c>
      <c r="J39" s="2" t="str">
        <f t="shared" si="39"/>
        <v>14</v>
      </c>
      <c r="K39" s="1">
        <f t="shared" si="1"/>
        <v>3</v>
      </c>
      <c r="M39" t="s">
        <v>18</v>
      </c>
      <c r="N39" t="s">
        <v>19</v>
      </c>
      <c r="O39" t="s">
        <v>20</v>
      </c>
    </row>
    <row r="40" spans="1:15" ht="14.25" customHeight="1">
      <c r="A40" s="5" t="str">
        <f t="shared" si="2"/>
        <v>507533</v>
      </c>
      <c r="B40" s="2" t="s">
        <v>87</v>
      </c>
      <c r="C40" s="1">
        <v>2507</v>
      </c>
      <c r="D40" s="1" t="s">
        <v>88</v>
      </c>
      <c r="E40" s="1">
        <v>2</v>
      </c>
      <c r="F40" s="1" t="s">
        <v>64</v>
      </c>
      <c r="G40" s="2" t="s">
        <v>15</v>
      </c>
      <c r="H40" s="1" t="s">
        <v>17</v>
      </c>
      <c r="I40" s="2" t="str">
        <f t="shared" ref="I40:J40" si="40">LEFT(F40,2)</f>
        <v>17</v>
      </c>
      <c r="J40" s="2" t="str">
        <f t="shared" si="40"/>
        <v>15</v>
      </c>
      <c r="K40" s="1">
        <f t="shared" si="1"/>
        <v>2</v>
      </c>
      <c r="M40" t="s">
        <v>24</v>
      </c>
      <c r="N40" t="s">
        <v>19</v>
      </c>
      <c r="O40" t="s">
        <v>20</v>
      </c>
    </row>
    <row r="41" spans="1:15" ht="14.25" customHeight="1">
      <c r="A41" s="5" t="str">
        <f t="shared" si="2"/>
        <v>507537</v>
      </c>
      <c r="B41" s="2" t="s">
        <v>89</v>
      </c>
      <c r="C41" s="1">
        <v>2507</v>
      </c>
      <c r="D41" s="1" t="s">
        <v>90</v>
      </c>
      <c r="E41" s="1">
        <v>1</v>
      </c>
      <c r="F41" s="1" t="s">
        <v>64</v>
      </c>
      <c r="G41" s="2" t="s">
        <v>23</v>
      </c>
      <c r="H41" s="1" t="s">
        <v>17</v>
      </c>
      <c r="I41" s="2" t="str">
        <f t="shared" ref="I41:J41" si="41">LEFT(F41,2)</f>
        <v>17</v>
      </c>
      <c r="J41" s="2" t="str">
        <f t="shared" si="41"/>
        <v>14</v>
      </c>
      <c r="K41" s="1">
        <f t="shared" si="1"/>
        <v>3</v>
      </c>
      <c r="M41" t="s">
        <v>91</v>
      </c>
      <c r="N41" t="s">
        <v>19</v>
      </c>
      <c r="O41" t="s">
        <v>20</v>
      </c>
    </row>
    <row r="42" spans="1:15" ht="14.25" customHeight="1">
      <c r="A42" s="5" t="str">
        <f t="shared" si="2"/>
        <v>507542</v>
      </c>
      <c r="B42" s="2" t="s">
        <v>92</v>
      </c>
      <c r="C42" s="1">
        <v>2507</v>
      </c>
      <c r="D42" s="1" t="s">
        <v>93</v>
      </c>
      <c r="E42" s="1">
        <v>4</v>
      </c>
      <c r="F42" s="1" t="s">
        <v>64</v>
      </c>
      <c r="G42" s="2" t="s">
        <v>23</v>
      </c>
      <c r="H42" s="1" t="s">
        <v>17</v>
      </c>
      <c r="I42" s="2" t="str">
        <f t="shared" ref="I42:J42" si="42">LEFT(F42,2)</f>
        <v>17</v>
      </c>
      <c r="J42" s="2" t="str">
        <f t="shared" si="42"/>
        <v>14</v>
      </c>
      <c r="K42" s="1">
        <f t="shared" si="1"/>
        <v>3</v>
      </c>
      <c r="M42" t="s">
        <v>18</v>
      </c>
      <c r="N42" t="s">
        <v>19</v>
      </c>
      <c r="O42" t="s">
        <v>20</v>
      </c>
    </row>
    <row r="43" spans="1:15" ht="14.25" customHeight="1">
      <c r="A43" s="5" t="str">
        <f t="shared" si="2"/>
        <v>508081</v>
      </c>
      <c r="B43" s="2" t="s">
        <v>94</v>
      </c>
      <c r="C43" s="1">
        <v>2507</v>
      </c>
      <c r="D43" s="1" t="s">
        <v>95</v>
      </c>
      <c r="E43" s="1">
        <v>6</v>
      </c>
      <c r="F43" s="1" t="s">
        <v>64</v>
      </c>
      <c r="G43" s="2" t="s">
        <v>23</v>
      </c>
      <c r="H43" s="1" t="s">
        <v>17</v>
      </c>
      <c r="I43" s="2" t="str">
        <f t="shared" ref="I43:J43" si="43">LEFT(F43,2)</f>
        <v>17</v>
      </c>
      <c r="J43" s="2" t="str">
        <f t="shared" si="43"/>
        <v>14</v>
      </c>
      <c r="K43" s="1">
        <f t="shared" si="1"/>
        <v>3</v>
      </c>
      <c r="M43" t="s">
        <v>18</v>
      </c>
      <c r="N43" t="s">
        <v>19</v>
      </c>
      <c r="O43" t="s">
        <v>20</v>
      </c>
    </row>
    <row r="44" spans="1:15" ht="14.25" customHeight="1">
      <c r="A44" s="5" t="str">
        <f t="shared" si="2"/>
        <v>507554</v>
      </c>
      <c r="B44" s="2" t="s">
        <v>96</v>
      </c>
      <c r="C44" s="1">
        <v>2507</v>
      </c>
      <c r="D44" s="1" t="s">
        <v>97</v>
      </c>
      <c r="E44" s="1">
        <v>2</v>
      </c>
      <c r="F44" s="1" t="s">
        <v>64</v>
      </c>
      <c r="G44" s="2" t="s">
        <v>15</v>
      </c>
      <c r="H44" s="1" t="s">
        <v>17</v>
      </c>
      <c r="I44" s="2" t="str">
        <f t="shared" ref="I44:J44" si="44">LEFT(F44,2)</f>
        <v>17</v>
      </c>
      <c r="J44" s="2" t="str">
        <f t="shared" si="44"/>
        <v>15</v>
      </c>
      <c r="K44" s="1">
        <f t="shared" si="1"/>
        <v>2</v>
      </c>
      <c r="M44" t="s">
        <v>18</v>
      </c>
      <c r="N44" t="s">
        <v>19</v>
      </c>
      <c r="O44" t="s">
        <v>20</v>
      </c>
    </row>
    <row r="45" spans="1:15" ht="14.25" customHeight="1">
      <c r="A45" s="5" t="str">
        <f t="shared" si="2"/>
        <v>494802</v>
      </c>
      <c r="B45" s="2" t="s">
        <v>98</v>
      </c>
      <c r="C45" s="1">
        <v>2504</v>
      </c>
      <c r="D45" s="1" t="s">
        <v>99</v>
      </c>
      <c r="E45" s="1">
        <v>1</v>
      </c>
      <c r="F45" s="1" t="s">
        <v>100</v>
      </c>
      <c r="G45" s="2" t="s">
        <v>15</v>
      </c>
      <c r="H45" s="1" t="s">
        <v>17</v>
      </c>
      <c r="I45" s="2" t="str">
        <f t="shared" ref="I45:J45" si="45">LEFT(F45,2)</f>
        <v>19</v>
      </c>
      <c r="J45" s="2" t="str">
        <f t="shared" si="45"/>
        <v>15</v>
      </c>
      <c r="K45" s="1">
        <f t="shared" si="1"/>
        <v>4</v>
      </c>
      <c r="M45" t="s">
        <v>18</v>
      </c>
      <c r="N45" t="s">
        <v>19</v>
      </c>
      <c r="O45" t="s">
        <v>20</v>
      </c>
    </row>
    <row r="46" spans="1:15" ht="14.25" customHeight="1">
      <c r="A46" s="5" t="str">
        <f t="shared" si="2"/>
        <v>494815</v>
      </c>
      <c r="B46" s="2" t="s">
        <v>101</v>
      </c>
      <c r="C46" s="1">
        <v>2504</v>
      </c>
      <c r="D46" s="1" t="s">
        <v>102</v>
      </c>
      <c r="E46" s="1">
        <v>4</v>
      </c>
      <c r="F46" s="1" t="s">
        <v>100</v>
      </c>
      <c r="G46" s="2" t="s">
        <v>15</v>
      </c>
      <c r="H46" s="1" t="s">
        <v>17</v>
      </c>
      <c r="I46" s="2" t="str">
        <f t="shared" ref="I46:J46" si="46">LEFT(F46,2)</f>
        <v>19</v>
      </c>
      <c r="J46" s="2" t="str">
        <f t="shared" si="46"/>
        <v>15</v>
      </c>
      <c r="K46" s="1">
        <f t="shared" si="1"/>
        <v>4</v>
      </c>
      <c r="M46" t="s">
        <v>18</v>
      </c>
      <c r="N46" t="s">
        <v>19</v>
      </c>
      <c r="O46" t="s">
        <v>20</v>
      </c>
    </row>
    <row r="47" spans="1:15" ht="14.25" customHeight="1">
      <c r="A47" s="5" t="str">
        <f t="shared" si="2"/>
        <v>516958</v>
      </c>
      <c r="B47" s="2" t="s">
        <v>103</v>
      </c>
      <c r="C47" s="1">
        <v>2510</v>
      </c>
      <c r="D47" s="1" t="s">
        <v>104</v>
      </c>
      <c r="E47" s="1">
        <v>2</v>
      </c>
      <c r="F47" s="1" t="s">
        <v>105</v>
      </c>
      <c r="G47" s="2" t="s">
        <v>33</v>
      </c>
      <c r="H47" s="1" t="s">
        <v>17</v>
      </c>
      <c r="I47" s="2" t="str">
        <f t="shared" ref="I47:J47" si="47">LEFT(F47,2)</f>
        <v>20</v>
      </c>
      <c r="J47" s="2" t="str">
        <f t="shared" si="47"/>
        <v>16</v>
      </c>
      <c r="K47" s="1">
        <f t="shared" si="1"/>
        <v>4</v>
      </c>
      <c r="M47" t="s">
        <v>106</v>
      </c>
      <c r="N47" t="s">
        <v>50</v>
      </c>
      <c r="O47" t="s">
        <v>20</v>
      </c>
    </row>
    <row r="48" spans="1:15" ht="14.25" customHeight="1">
      <c r="A48" s="5" t="str">
        <f t="shared" si="2"/>
        <v>516958</v>
      </c>
      <c r="B48" s="2" t="s">
        <v>107</v>
      </c>
      <c r="C48" s="1">
        <v>2510</v>
      </c>
      <c r="D48" s="1" t="s">
        <v>104</v>
      </c>
      <c r="E48" s="1">
        <v>1</v>
      </c>
      <c r="F48" s="1" t="s">
        <v>108</v>
      </c>
      <c r="G48" s="2" t="s">
        <v>33</v>
      </c>
      <c r="H48" s="1" t="s">
        <v>17</v>
      </c>
      <c r="I48" s="2" t="str">
        <f t="shared" ref="I48:J48" si="48">LEFT(F48,2)</f>
        <v>20</v>
      </c>
      <c r="J48" s="2" t="str">
        <f t="shared" si="48"/>
        <v>16</v>
      </c>
      <c r="K48" s="1">
        <f t="shared" si="1"/>
        <v>4</v>
      </c>
      <c r="M48" t="s">
        <v>106</v>
      </c>
      <c r="N48" t="s">
        <v>50</v>
      </c>
      <c r="O48" t="s">
        <v>20</v>
      </c>
    </row>
    <row r="49" spans="1:15" ht="14.25" customHeight="1">
      <c r="A49" s="5" t="str">
        <f t="shared" si="2"/>
        <v>506774</v>
      </c>
      <c r="B49" s="2" t="s">
        <v>109</v>
      </c>
      <c r="C49" s="1">
        <v>2507</v>
      </c>
      <c r="D49" s="1" t="s">
        <v>110</v>
      </c>
      <c r="E49" s="1">
        <v>2</v>
      </c>
      <c r="F49" s="1" t="s">
        <v>108</v>
      </c>
      <c r="G49" s="2" t="s">
        <v>23</v>
      </c>
      <c r="H49" s="1" t="s">
        <v>17</v>
      </c>
      <c r="I49" s="2" t="str">
        <f t="shared" ref="I49:J49" si="49">LEFT(F49,2)</f>
        <v>20</v>
      </c>
      <c r="J49" s="2" t="str">
        <f t="shared" si="49"/>
        <v>14</v>
      </c>
      <c r="K49" s="1">
        <f t="shared" si="1"/>
        <v>6</v>
      </c>
      <c r="M49" t="s">
        <v>18</v>
      </c>
      <c r="N49" t="s">
        <v>19</v>
      </c>
      <c r="O49" t="s">
        <v>20</v>
      </c>
    </row>
    <row r="50" spans="1:15" ht="14.25" customHeight="1">
      <c r="A50" s="5" t="str">
        <f t="shared" si="2"/>
        <v>514681</v>
      </c>
      <c r="B50" s="2" t="s">
        <v>111</v>
      </c>
      <c r="C50" s="1">
        <v>2510</v>
      </c>
      <c r="D50" s="1" t="s">
        <v>112</v>
      </c>
      <c r="E50" s="1">
        <v>3</v>
      </c>
      <c r="F50" s="1" t="s">
        <v>113</v>
      </c>
      <c r="G50" s="2" t="s">
        <v>81</v>
      </c>
      <c r="H50" s="1" t="s">
        <v>17</v>
      </c>
      <c r="I50" s="2" t="str">
        <f t="shared" ref="I50:J50" si="50">LEFT(F50,2)</f>
        <v>21</v>
      </c>
      <c r="J50" s="2" t="str">
        <f t="shared" si="50"/>
        <v>18</v>
      </c>
      <c r="K50" s="1">
        <f t="shared" si="1"/>
        <v>3</v>
      </c>
      <c r="M50" t="s">
        <v>24</v>
      </c>
      <c r="N50" t="s">
        <v>50</v>
      </c>
      <c r="O50" t="s">
        <v>20</v>
      </c>
    </row>
    <row r="51" spans="1:15" ht="14.25" customHeight="1">
      <c r="A51" s="5" t="str">
        <f t="shared" si="2"/>
        <v>514681</v>
      </c>
      <c r="B51" s="2" t="s">
        <v>114</v>
      </c>
      <c r="C51" s="1">
        <v>2510</v>
      </c>
      <c r="D51" s="1" t="s">
        <v>112</v>
      </c>
      <c r="E51" s="1">
        <v>2</v>
      </c>
      <c r="F51" s="1" t="s">
        <v>113</v>
      </c>
      <c r="G51" s="2" t="s">
        <v>81</v>
      </c>
      <c r="H51" s="1" t="s">
        <v>17</v>
      </c>
      <c r="I51" s="2" t="str">
        <f t="shared" ref="I51:J51" si="51">LEFT(F51,2)</f>
        <v>21</v>
      </c>
      <c r="J51" s="2" t="str">
        <f t="shared" si="51"/>
        <v>18</v>
      </c>
      <c r="K51" s="1">
        <f t="shared" si="1"/>
        <v>3</v>
      </c>
      <c r="M51" t="s">
        <v>24</v>
      </c>
      <c r="N51" t="s">
        <v>50</v>
      </c>
      <c r="O51" t="s">
        <v>20</v>
      </c>
    </row>
    <row r="52" spans="1:15" ht="14.25" customHeight="1">
      <c r="A52" s="5" t="str">
        <f t="shared" si="2"/>
        <v>528469</v>
      </c>
      <c r="B52" s="2" t="s">
        <v>115</v>
      </c>
      <c r="C52" s="1">
        <v>2510</v>
      </c>
      <c r="D52" s="1" t="s">
        <v>116</v>
      </c>
      <c r="E52" s="1">
        <v>6</v>
      </c>
      <c r="F52" s="1" t="s">
        <v>113</v>
      </c>
      <c r="G52" s="2" t="s">
        <v>64</v>
      </c>
      <c r="H52" s="1" t="s">
        <v>17</v>
      </c>
      <c r="I52" s="2" t="str">
        <f t="shared" ref="I52:J52" si="52">LEFT(F52,2)</f>
        <v>21</v>
      </c>
      <c r="J52" s="2" t="str">
        <f t="shared" si="52"/>
        <v>17</v>
      </c>
      <c r="K52" s="1">
        <f t="shared" si="1"/>
        <v>4</v>
      </c>
      <c r="M52" t="s">
        <v>117</v>
      </c>
      <c r="N52" t="s">
        <v>50</v>
      </c>
      <c r="O52" t="s">
        <v>20</v>
      </c>
    </row>
    <row r="53" spans="1:15" ht="14.25" customHeight="1">
      <c r="A53" s="5" t="str">
        <f t="shared" si="2"/>
        <v>508418</v>
      </c>
      <c r="B53" s="2" t="s">
        <v>118</v>
      </c>
      <c r="C53" s="1">
        <v>2510</v>
      </c>
      <c r="D53" s="1" t="s">
        <v>119</v>
      </c>
      <c r="E53" s="1">
        <v>5</v>
      </c>
      <c r="F53" s="1" t="s">
        <v>113</v>
      </c>
      <c r="G53" s="2" t="s">
        <v>64</v>
      </c>
      <c r="H53" s="1" t="s">
        <v>17</v>
      </c>
      <c r="I53" s="2" t="str">
        <f t="shared" ref="I53:J53" si="53">LEFT(F53,2)</f>
        <v>21</v>
      </c>
      <c r="J53" s="2" t="str">
        <f t="shared" si="53"/>
        <v>17</v>
      </c>
      <c r="K53" s="1">
        <f t="shared" si="1"/>
        <v>4</v>
      </c>
      <c r="M53" t="s">
        <v>117</v>
      </c>
      <c r="N53" t="s">
        <v>50</v>
      </c>
      <c r="O53" t="s">
        <v>20</v>
      </c>
    </row>
    <row r="54" spans="1:15" ht="14.25" customHeight="1">
      <c r="A54" s="5" t="str">
        <f t="shared" si="2"/>
        <v>508418</v>
      </c>
      <c r="B54" s="2" t="s">
        <v>120</v>
      </c>
      <c r="C54" s="1">
        <v>2510</v>
      </c>
      <c r="D54" s="1" t="s">
        <v>119</v>
      </c>
      <c r="E54" s="1">
        <v>1</v>
      </c>
      <c r="F54" s="1" t="s">
        <v>113</v>
      </c>
      <c r="G54" s="2" t="s">
        <v>64</v>
      </c>
      <c r="H54" s="1" t="s">
        <v>17</v>
      </c>
      <c r="I54" s="2" t="str">
        <f t="shared" ref="I54:J54" si="54">LEFT(F54,2)</f>
        <v>21</v>
      </c>
      <c r="J54" s="2" t="str">
        <f t="shared" si="54"/>
        <v>17</v>
      </c>
      <c r="K54" s="1">
        <f t="shared" si="1"/>
        <v>4</v>
      </c>
      <c r="M54" t="s">
        <v>117</v>
      </c>
      <c r="N54" t="s">
        <v>50</v>
      </c>
      <c r="O54" t="s">
        <v>20</v>
      </c>
    </row>
    <row r="55" spans="1:15" ht="14.25" customHeight="1">
      <c r="A55" s="5" t="str">
        <f t="shared" si="2"/>
        <v>508418</v>
      </c>
      <c r="B55" s="2" t="s">
        <v>121</v>
      </c>
      <c r="C55" s="1">
        <v>2510</v>
      </c>
      <c r="D55" s="1" t="s">
        <v>119</v>
      </c>
      <c r="E55" s="1">
        <v>1</v>
      </c>
      <c r="F55" s="1" t="s">
        <v>113</v>
      </c>
      <c r="G55" s="2" t="s">
        <v>64</v>
      </c>
      <c r="H55" s="1" t="s">
        <v>17</v>
      </c>
      <c r="I55" s="2" t="str">
        <f t="shared" ref="I55:J55" si="55">LEFT(F55,2)</f>
        <v>21</v>
      </c>
      <c r="J55" s="2" t="str">
        <f t="shared" si="55"/>
        <v>17</v>
      </c>
      <c r="K55" s="1">
        <f t="shared" si="1"/>
        <v>4</v>
      </c>
      <c r="M55" t="s">
        <v>117</v>
      </c>
      <c r="N55" t="s">
        <v>50</v>
      </c>
      <c r="O55" t="s">
        <v>20</v>
      </c>
    </row>
    <row r="56" spans="1:15" ht="14.25" customHeight="1">
      <c r="A56" s="5" t="str">
        <f t="shared" si="2"/>
        <v>528500</v>
      </c>
      <c r="B56" s="2" t="s">
        <v>122</v>
      </c>
      <c r="C56" s="1">
        <v>2510</v>
      </c>
      <c r="D56" s="1" t="s">
        <v>123</v>
      </c>
      <c r="E56" s="1">
        <v>4</v>
      </c>
      <c r="F56" s="1" t="s">
        <v>113</v>
      </c>
      <c r="G56" s="2" t="s">
        <v>64</v>
      </c>
      <c r="H56" s="1" t="s">
        <v>17</v>
      </c>
      <c r="I56" s="2" t="str">
        <f t="shared" ref="I56:J56" si="56">LEFT(F56,2)</f>
        <v>21</v>
      </c>
      <c r="J56" s="2" t="str">
        <f t="shared" si="56"/>
        <v>17</v>
      </c>
      <c r="K56" s="1">
        <f t="shared" si="1"/>
        <v>4</v>
      </c>
      <c r="M56" t="s">
        <v>117</v>
      </c>
      <c r="N56" t="s">
        <v>50</v>
      </c>
      <c r="O56" t="s">
        <v>20</v>
      </c>
    </row>
    <row r="57" spans="1:15" ht="14.25" customHeight="1">
      <c r="A57" s="5" t="str">
        <f t="shared" si="2"/>
        <v>528500</v>
      </c>
      <c r="B57" s="2" t="s">
        <v>124</v>
      </c>
      <c r="C57" s="1">
        <v>2510</v>
      </c>
      <c r="D57" s="1" t="s">
        <v>123</v>
      </c>
      <c r="E57" s="1">
        <v>1</v>
      </c>
      <c r="F57" s="1" t="s">
        <v>113</v>
      </c>
      <c r="G57" s="2" t="s">
        <v>64</v>
      </c>
      <c r="H57" s="1" t="s">
        <v>17</v>
      </c>
      <c r="I57" s="2" t="str">
        <f t="shared" ref="I57:J57" si="57">LEFT(F57,2)</f>
        <v>21</v>
      </c>
      <c r="J57" s="2" t="str">
        <f t="shared" si="57"/>
        <v>17</v>
      </c>
      <c r="K57" s="1">
        <f t="shared" si="1"/>
        <v>4</v>
      </c>
      <c r="M57" t="s">
        <v>117</v>
      </c>
      <c r="N57" t="s">
        <v>50</v>
      </c>
      <c r="O57" t="s">
        <v>20</v>
      </c>
    </row>
    <row r="58" spans="1:15" ht="14.25" customHeight="1">
      <c r="A58" s="5" t="str">
        <f t="shared" si="2"/>
        <v>528500</v>
      </c>
      <c r="B58" s="2" t="s">
        <v>125</v>
      </c>
      <c r="C58" s="1">
        <v>2510</v>
      </c>
      <c r="D58" s="1" t="s">
        <v>123</v>
      </c>
      <c r="E58" s="1">
        <v>1</v>
      </c>
      <c r="F58" s="1" t="s">
        <v>113</v>
      </c>
      <c r="G58" s="2" t="s">
        <v>64</v>
      </c>
      <c r="H58" s="1" t="s">
        <v>17</v>
      </c>
      <c r="I58" s="2" t="str">
        <f t="shared" ref="I58:J58" si="58">LEFT(F58,2)</f>
        <v>21</v>
      </c>
      <c r="J58" s="2" t="str">
        <f t="shared" si="58"/>
        <v>17</v>
      </c>
      <c r="K58" s="1">
        <f t="shared" si="1"/>
        <v>4</v>
      </c>
      <c r="M58" t="s">
        <v>117</v>
      </c>
      <c r="N58" t="s">
        <v>50</v>
      </c>
      <c r="O58" t="s">
        <v>20</v>
      </c>
    </row>
    <row r="59" spans="1:15" ht="14.25" customHeight="1">
      <c r="A59" s="5" t="str">
        <f t="shared" si="2"/>
        <v>508402</v>
      </c>
      <c r="B59" s="2" t="s">
        <v>126</v>
      </c>
      <c r="C59" s="1">
        <v>2510</v>
      </c>
      <c r="D59" s="1" t="s">
        <v>127</v>
      </c>
      <c r="E59" s="1">
        <v>4</v>
      </c>
      <c r="F59" s="1" t="s">
        <v>113</v>
      </c>
      <c r="G59" s="2" t="s">
        <v>64</v>
      </c>
      <c r="H59" s="1" t="s">
        <v>17</v>
      </c>
      <c r="I59" s="2" t="str">
        <f t="shared" ref="I59:J59" si="59">LEFT(F59,2)</f>
        <v>21</v>
      </c>
      <c r="J59" s="2" t="str">
        <f t="shared" si="59"/>
        <v>17</v>
      </c>
      <c r="K59" s="1">
        <f t="shared" si="1"/>
        <v>4</v>
      </c>
      <c r="M59" t="s">
        <v>117</v>
      </c>
      <c r="N59" t="s">
        <v>50</v>
      </c>
      <c r="O59" t="s">
        <v>20</v>
      </c>
    </row>
    <row r="60" spans="1:15" ht="14.25" customHeight="1">
      <c r="A60" s="5" t="str">
        <f t="shared" si="2"/>
        <v>508402</v>
      </c>
      <c r="B60" s="2" t="s">
        <v>128</v>
      </c>
      <c r="C60" s="1">
        <v>2510</v>
      </c>
      <c r="D60" s="1" t="s">
        <v>127</v>
      </c>
      <c r="E60" s="1">
        <v>1</v>
      </c>
      <c r="F60" s="1" t="s">
        <v>113</v>
      </c>
      <c r="G60" s="2" t="s">
        <v>64</v>
      </c>
      <c r="H60" s="1" t="s">
        <v>17</v>
      </c>
      <c r="I60" s="2" t="str">
        <f t="shared" ref="I60:J60" si="60">LEFT(F60,2)</f>
        <v>21</v>
      </c>
      <c r="J60" s="2" t="str">
        <f t="shared" si="60"/>
        <v>17</v>
      </c>
      <c r="K60" s="1">
        <f t="shared" si="1"/>
        <v>4</v>
      </c>
      <c r="M60" t="s">
        <v>117</v>
      </c>
      <c r="N60" t="s">
        <v>50</v>
      </c>
      <c r="O60" t="s">
        <v>20</v>
      </c>
    </row>
    <row r="61" spans="1:15" ht="14.25" customHeight="1">
      <c r="A61" s="5" t="str">
        <f t="shared" si="2"/>
        <v>508402</v>
      </c>
      <c r="B61" s="2" t="s">
        <v>129</v>
      </c>
      <c r="C61" s="1">
        <v>2510</v>
      </c>
      <c r="D61" s="1" t="s">
        <v>127</v>
      </c>
      <c r="E61" s="1">
        <v>1</v>
      </c>
      <c r="F61" s="1" t="s">
        <v>113</v>
      </c>
      <c r="G61" s="2" t="s">
        <v>64</v>
      </c>
      <c r="H61" s="1" t="s">
        <v>17</v>
      </c>
      <c r="I61" s="2" t="str">
        <f t="shared" ref="I61:J61" si="61">LEFT(F61,2)</f>
        <v>21</v>
      </c>
      <c r="J61" s="2" t="str">
        <f t="shared" si="61"/>
        <v>17</v>
      </c>
      <c r="K61" s="1">
        <f t="shared" si="1"/>
        <v>4</v>
      </c>
      <c r="M61" t="s">
        <v>117</v>
      </c>
      <c r="N61" t="s">
        <v>50</v>
      </c>
      <c r="O61" t="s">
        <v>20</v>
      </c>
    </row>
    <row r="62" spans="1:15" ht="14.25" customHeight="1">
      <c r="A62" s="5" t="str">
        <f t="shared" si="2"/>
        <v>508402</v>
      </c>
      <c r="B62" s="2" t="s">
        <v>130</v>
      </c>
      <c r="C62" s="1">
        <v>2510</v>
      </c>
      <c r="D62" s="1" t="s">
        <v>127</v>
      </c>
      <c r="E62" s="1">
        <v>1</v>
      </c>
      <c r="F62" s="1" t="s">
        <v>113</v>
      </c>
      <c r="G62" s="2" t="s">
        <v>64</v>
      </c>
      <c r="H62" s="1" t="s">
        <v>17</v>
      </c>
      <c r="I62" s="2" t="str">
        <f t="shared" ref="I62:J62" si="62">LEFT(F62,2)</f>
        <v>21</v>
      </c>
      <c r="J62" s="2" t="str">
        <f t="shared" si="62"/>
        <v>17</v>
      </c>
      <c r="K62" s="1">
        <f t="shared" si="1"/>
        <v>4</v>
      </c>
      <c r="M62" t="s">
        <v>117</v>
      </c>
      <c r="N62" t="s">
        <v>50</v>
      </c>
      <c r="O62" t="s">
        <v>20</v>
      </c>
    </row>
    <row r="63" spans="1:15" ht="14.25" customHeight="1">
      <c r="A63" s="5" t="str">
        <f t="shared" si="2"/>
        <v>496286</v>
      </c>
      <c r="B63" s="2" t="s">
        <v>131</v>
      </c>
      <c r="C63" s="1">
        <v>2504</v>
      </c>
      <c r="D63" s="1" t="s">
        <v>132</v>
      </c>
      <c r="E63" s="1">
        <v>4</v>
      </c>
      <c r="F63" s="1" t="s">
        <v>113</v>
      </c>
      <c r="G63" s="2" t="s">
        <v>64</v>
      </c>
      <c r="H63" s="1" t="s">
        <v>17</v>
      </c>
      <c r="I63" s="2" t="str">
        <f t="shared" ref="I63:J63" si="63">LEFT(F63,2)</f>
        <v>21</v>
      </c>
      <c r="J63" s="2" t="str">
        <f t="shared" si="63"/>
        <v>17</v>
      </c>
      <c r="K63" s="1">
        <f t="shared" si="1"/>
        <v>4</v>
      </c>
      <c r="M63" t="s">
        <v>18</v>
      </c>
      <c r="N63" t="s">
        <v>19</v>
      </c>
      <c r="O63" t="s">
        <v>20</v>
      </c>
    </row>
    <row r="64" spans="1:15" ht="14.25" customHeight="1">
      <c r="A64" s="5" t="str">
        <f t="shared" si="2"/>
        <v>494210</v>
      </c>
      <c r="B64" s="2" t="s">
        <v>133</v>
      </c>
      <c r="C64" s="1">
        <v>2504</v>
      </c>
      <c r="D64" s="1" t="s">
        <v>134</v>
      </c>
      <c r="E64" s="1">
        <v>4</v>
      </c>
      <c r="F64" s="1" t="s">
        <v>113</v>
      </c>
      <c r="G64" s="2" t="s">
        <v>23</v>
      </c>
      <c r="H64" s="1" t="s">
        <v>17</v>
      </c>
      <c r="I64" s="2" t="str">
        <f t="shared" ref="I64:J64" si="64">LEFT(F64,2)</f>
        <v>21</v>
      </c>
      <c r="J64" s="2" t="str">
        <f t="shared" si="64"/>
        <v>14</v>
      </c>
      <c r="K64" s="1">
        <f t="shared" si="1"/>
        <v>7</v>
      </c>
      <c r="M64" t="s">
        <v>18</v>
      </c>
      <c r="N64" t="s">
        <v>19</v>
      </c>
      <c r="O64" t="s">
        <v>20</v>
      </c>
    </row>
    <row r="65" spans="1:23" ht="14.25" customHeight="1">
      <c r="A65" s="5" t="str">
        <f t="shared" si="2"/>
        <v>515578</v>
      </c>
      <c r="B65" s="2" t="s">
        <v>135</v>
      </c>
      <c r="C65" s="1">
        <v>2510</v>
      </c>
      <c r="D65" s="1" t="s">
        <v>136</v>
      </c>
      <c r="E65" s="1">
        <v>2</v>
      </c>
      <c r="F65" s="1" t="s">
        <v>137</v>
      </c>
      <c r="G65" s="2" t="s">
        <v>33</v>
      </c>
      <c r="H65" s="1" t="s">
        <v>17</v>
      </c>
      <c r="I65" s="2" t="str">
        <f t="shared" ref="I65:J65" si="65">LEFT(F65,2)</f>
        <v>23</v>
      </c>
      <c r="J65" s="2" t="str">
        <f t="shared" si="65"/>
        <v>16</v>
      </c>
      <c r="K65" s="1">
        <f t="shared" si="1"/>
        <v>7</v>
      </c>
      <c r="M65" t="s">
        <v>18</v>
      </c>
      <c r="N65" t="s">
        <v>50</v>
      </c>
      <c r="O65" t="s">
        <v>20</v>
      </c>
    </row>
    <row r="66" spans="1:23" ht="14.25" customHeight="1">
      <c r="A66" s="5" t="str">
        <f t="shared" si="2"/>
        <v>515578</v>
      </c>
      <c r="B66" s="2" t="s">
        <v>138</v>
      </c>
      <c r="C66" s="1">
        <v>2510</v>
      </c>
      <c r="D66" s="1" t="s">
        <v>136</v>
      </c>
      <c r="E66" s="1">
        <v>2</v>
      </c>
      <c r="F66" s="1" t="s">
        <v>113</v>
      </c>
      <c r="G66" s="2" t="s">
        <v>23</v>
      </c>
      <c r="H66" s="1" t="s">
        <v>17</v>
      </c>
      <c r="I66" s="2" t="str">
        <f t="shared" ref="I66:J66" si="66">LEFT(F66,2)</f>
        <v>21</v>
      </c>
      <c r="J66" s="2" t="str">
        <f t="shared" si="66"/>
        <v>14</v>
      </c>
      <c r="K66" s="1">
        <f t="shared" si="1"/>
        <v>7</v>
      </c>
      <c r="M66" t="s">
        <v>18</v>
      </c>
      <c r="N66" t="s">
        <v>50</v>
      </c>
      <c r="O66" t="s">
        <v>20</v>
      </c>
    </row>
    <row r="67" spans="1:23" ht="14.25" customHeight="1">
      <c r="A67" s="5" t="str">
        <f t="shared" ref="A67:A130" si="67">LEFT(B67,6)</f>
        <v>515578</v>
      </c>
      <c r="B67" s="2" t="s">
        <v>139</v>
      </c>
      <c r="C67" s="1">
        <v>2510</v>
      </c>
      <c r="D67" s="1" t="s">
        <v>136</v>
      </c>
      <c r="E67" s="1">
        <v>2</v>
      </c>
      <c r="F67" s="1" t="s">
        <v>113</v>
      </c>
      <c r="G67" s="2" t="s">
        <v>23</v>
      </c>
      <c r="H67" s="1" t="s">
        <v>17</v>
      </c>
      <c r="I67" s="2" t="str">
        <f t="shared" ref="I67:J67" si="68">LEFT(F67,2)</f>
        <v>21</v>
      </c>
      <c r="J67" s="2" t="str">
        <f t="shared" si="68"/>
        <v>14</v>
      </c>
      <c r="K67" s="1">
        <f t="shared" si="1"/>
        <v>7</v>
      </c>
      <c r="M67" t="s">
        <v>18</v>
      </c>
      <c r="N67" t="s">
        <v>50</v>
      </c>
      <c r="O67" t="s">
        <v>20</v>
      </c>
    </row>
    <row r="68" spans="1:23" ht="14.25" customHeight="1">
      <c r="A68" s="5" t="str">
        <f t="shared" si="67"/>
        <v>494222</v>
      </c>
      <c r="B68" s="2" t="s">
        <v>140</v>
      </c>
      <c r="C68" s="1">
        <v>2504</v>
      </c>
      <c r="D68" s="1" t="s">
        <v>141</v>
      </c>
      <c r="E68" s="1">
        <v>4</v>
      </c>
      <c r="F68" s="1" t="s">
        <v>142</v>
      </c>
      <c r="G68" s="2" t="s">
        <v>81</v>
      </c>
      <c r="H68" s="1" t="s">
        <v>17</v>
      </c>
      <c r="I68" s="2" t="str">
        <f t="shared" ref="I68:J68" si="69">LEFT(F68,2)</f>
        <v>22</v>
      </c>
      <c r="J68" s="2" t="str">
        <f t="shared" si="69"/>
        <v>18</v>
      </c>
      <c r="K68" s="1">
        <f t="shared" si="1"/>
        <v>4</v>
      </c>
      <c r="M68" t="s">
        <v>24</v>
      </c>
      <c r="N68" t="s">
        <v>19</v>
      </c>
      <c r="O68" t="s">
        <v>20</v>
      </c>
    </row>
    <row r="69" spans="1:23" ht="14.25" customHeight="1">
      <c r="A69" s="5" t="str">
        <f t="shared" si="67"/>
        <v>496192</v>
      </c>
      <c r="B69" s="2" t="s">
        <v>143</v>
      </c>
      <c r="C69" s="1">
        <v>2510</v>
      </c>
      <c r="D69" s="1" t="s">
        <v>144</v>
      </c>
      <c r="E69" s="1">
        <v>4</v>
      </c>
      <c r="F69" s="1" t="s">
        <v>142</v>
      </c>
      <c r="G69" s="2" t="s">
        <v>81</v>
      </c>
      <c r="H69" s="1" t="s">
        <v>17</v>
      </c>
      <c r="I69" s="2" t="str">
        <f t="shared" ref="I69:J69" si="70">LEFT(F69,2)</f>
        <v>22</v>
      </c>
      <c r="J69" s="2" t="str">
        <f t="shared" si="70"/>
        <v>18</v>
      </c>
      <c r="K69" s="1">
        <f t="shared" si="1"/>
        <v>4</v>
      </c>
      <c r="M69" t="s">
        <v>18</v>
      </c>
      <c r="N69" t="s">
        <v>19</v>
      </c>
      <c r="O69" t="s">
        <v>20</v>
      </c>
    </row>
    <row r="70" spans="1:23" ht="14.25" customHeight="1">
      <c r="A70" s="5" t="str">
        <f t="shared" si="67"/>
        <v>496192</v>
      </c>
      <c r="B70" s="2" t="s">
        <v>145</v>
      </c>
      <c r="C70" s="1">
        <v>2510</v>
      </c>
      <c r="D70" s="1" t="s">
        <v>144</v>
      </c>
      <c r="E70" s="1">
        <v>4</v>
      </c>
      <c r="F70" s="1" t="s">
        <v>142</v>
      </c>
      <c r="G70" s="2" t="s">
        <v>23</v>
      </c>
      <c r="H70" s="1" t="s">
        <v>17</v>
      </c>
      <c r="I70" s="2" t="str">
        <f t="shared" ref="I70:J70" si="71">LEFT(F70,2)</f>
        <v>22</v>
      </c>
      <c r="J70" s="2" t="str">
        <f t="shared" si="71"/>
        <v>14</v>
      </c>
      <c r="K70" s="1">
        <f t="shared" si="1"/>
        <v>8</v>
      </c>
      <c r="M70" t="s">
        <v>18</v>
      </c>
      <c r="N70" t="s">
        <v>19</v>
      </c>
      <c r="O70" t="s">
        <v>20</v>
      </c>
    </row>
    <row r="71" spans="1:23" ht="14.25" customHeight="1">
      <c r="A71" s="5" t="str">
        <f t="shared" si="67"/>
        <v>496461</v>
      </c>
      <c r="B71" s="2" t="s">
        <v>146</v>
      </c>
      <c r="C71" s="1">
        <v>2504</v>
      </c>
      <c r="D71" s="1" t="s">
        <v>147</v>
      </c>
      <c r="E71" s="1">
        <v>2</v>
      </c>
      <c r="F71" s="1" t="s">
        <v>142</v>
      </c>
      <c r="G71" s="2" t="s">
        <v>81</v>
      </c>
      <c r="H71" s="1" t="s">
        <v>17</v>
      </c>
      <c r="I71" s="2" t="str">
        <f t="shared" ref="I71:J71" si="72">LEFT(F71,2)</f>
        <v>22</v>
      </c>
      <c r="J71" s="2" t="str">
        <f t="shared" si="72"/>
        <v>18</v>
      </c>
      <c r="K71" s="1">
        <f t="shared" si="1"/>
        <v>4</v>
      </c>
      <c r="M71" t="s">
        <v>18</v>
      </c>
      <c r="N71" t="s">
        <v>19</v>
      </c>
      <c r="O71" t="s">
        <v>20</v>
      </c>
    </row>
    <row r="72" spans="1:23" ht="14.25" customHeight="1">
      <c r="A72" s="5" t="str">
        <f t="shared" si="67"/>
        <v>513993</v>
      </c>
      <c r="B72" s="2" t="s">
        <v>148</v>
      </c>
      <c r="C72" s="1">
        <v>2510</v>
      </c>
      <c r="D72" s="1" t="s">
        <v>149</v>
      </c>
      <c r="E72" s="1">
        <v>3</v>
      </c>
      <c r="F72" s="1" t="s">
        <v>150</v>
      </c>
      <c r="G72" s="2" t="s">
        <v>15</v>
      </c>
      <c r="H72" s="1" t="s">
        <v>17</v>
      </c>
      <c r="I72" s="2" t="str">
        <f t="shared" ref="I72:J72" si="73">LEFT(F72,2)</f>
        <v>24</v>
      </c>
      <c r="J72" s="2" t="str">
        <f t="shared" si="73"/>
        <v>15</v>
      </c>
      <c r="K72" s="1">
        <f t="shared" si="1"/>
        <v>9</v>
      </c>
      <c r="M72" t="s">
        <v>151</v>
      </c>
      <c r="N72" t="s">
        <v>50</v>
      </c>
      <c r="O72" t="s">
        <v>20</v>
      </c>
    </row>
    <row r="73" spans="1:23" ht="14.25" customHeight="1">
      <c r="A73" s="5" t="str">
        <f t="shared" si="67"/>
        <v>513993</v>
      </c>
      <c r="B73" s="2" t="s">
        <v>152</v>
      </c>
      <c r="C73" s="1">
        <v>2510</v>
      </c>
      <c r="D73" s="1" t="s">
        <v>149</v>
      </c>
      <c r="E73" s="1">
        <v>5</v>
      </c>
      <c r="F73" s="1" t="s">
        <v>142</v>
      </c>
      <c r="G73" s="2" t="s">
        <v>15</v>
      </c>
      <c r="H73" s="1" t="s">
        <v>17</v>
      </c>
      <c r="I73" s="2" t="str">
        <f t="shared" ref="I73:J73" si="74">LEFT(F73,2)</f>
        <v>22</v>
      </c>
      <c r="J73" s="2" t="str">
        <f t="shared" si="74"/>
        <v>15</v>
      </c>
      <c r="K73" s="1">
        <f t="shared" si="1"/>
        <v>7</v>
      </c>
      <c r="M73" t="s">
        <v>151</v>
      </c>
      <c r="N73" t="s">
        <v>50</v>
      </c>
      <c r="O73" t="s">
        <v>20</v>
      </c>
    </row>
    <row r="74" spans="1:23" ht="14.25" customHeight="1">
      <c r="A74" s="5" t="str">
        <f t="shared" si="67"/>
        <v>508413</v>
      </c>
      <c r="B74" s="2" t="s">
        <v>153</v>
      </c>
      <c r="C74" s="1">
        <v>2510</v>
      </c>
      <c r="D74" s="1" t="s">
        <v>154</v>
      </c>
      <c r="E74" s="1">
        <v>1</v>
      </c>
      <c r="F74" s="1" t="s">
        <v>137</v>
      </c>
      <c r="G74" s="2" t="s">
        <v>100</v>
      </c>
      <c r="H74" s="1" t="s">
        <v>17</v>
      </c>
      <c r="I74" s="2" t="str">
        <f t="shared" ref="I74:J74" si="75">LEFT(F74,2)</f>
        <v>23</v>
      </c>
      <c r="J74" s="2" t="str">
        <f t="shared" si="75"/>
        <v>19</v>
      </c>
      <c r="K74" s="1">
        <f t="shared" si="1"/>
        <v>4</v>
      </c>
      <c r="M74" t="s">
        <v>117</v>
      </c>
      <c r="N74" t="s">
        <v>50</v>
      </c>
      <c r="O74" t="s">
        <v>20</v>
      </c>
    </row>
    <row r="75" spans="1:23" ht="14.25" customHeight="1">
      <c r="A75" s="5" t="str">
        <f t="shared" si="67"/>
        <v>508413</v>
      </c>
      <c r="B75" s="2" t="s">
        <v>155</v>
      </c>
      <c r="C75" s="1">
        <v>2510</v>
      </c>
      <c r="D75" s="1" t="s">
        <v>154</v>
      </c>
      <c r="E75" s="1">
        <v>1</v>
      </c>
      <c r="F75" s="1" t="s">
        <v>64</v>
      </c>
      <c r="G75" s="2" t="s">
        <v>16</v>
      </c>
      <c r="H75" s="1" t="s">
        <v>17</v>
      </c>
      <c r="I75" s="2" t="str">
        <f t="shared" ref="I75:J75" si="76">LEFT(F75,2)</f>
        <v>17</v>
      </c>
      <c r="J75" s="2" t="str">
        <f t="shared" si="76"/>
        <v>13</v>
      </c>
      <c r="K75" s="1">
        <f t="shared" si="1"/>
        <v>4</v>
      </c>
      <c r="M75" t="s">
        <v>117</v>
      </c>
      <c r="N75" t="s">
        <v>50</v>
      </c>
      <c r="O75" t="s">
        <v>20</v>
      </c>
    </row>
    <row r="76" spans="1:23" ht="14.25" customHeight="1">
      <c r="A76" s="5" t="str">
        <f t="shared" si="67"/>
        <v>508413</v>
      </c>
      <c r="B76" s="2" t="s">
        <v>156</v>
      </c>
      <c r="C76" s="1">
        <v>2510</v>
      </c>
      <c r="D76" s="1" t="s">
        <v>154</v>
      </c>
      <c r="E76" s="1">
        <v>3</v>
      </c>
      <c r="F76" s="1" t="s">
        <v>64</v>
      </c>
      <c r="G76" s="2" t="s">
        <v>16</v>
      </c>
      <c r="H76" s="1" t="s">
        <v>17</v>
      </c>
      <c r="I76" s="2" t="str">
        <f t="shared" ref="I76:J76" si="77">LEFT(F76,2)</f>
        <v>17</v>
      </c>
      <c r="J76" s="2" t="str">
        <f t="shared" si="77"/>
        <v>13</v>
      </c>
      <c r="K76" s="1">
        <f t="shared" si="1"/>
        <v>4</v>
      </c>
      <c r="M76" t="s">
        <v>117</v>
      </c>
      <c r="N76" t="s">
        <v>50</v>
      </c>
      <c r="O76" t="s">
        <v>20</v>
      </c>
      <c r="P76" s="1"/>
      <c r="Q76" s="1"/>
      <c r="R76" s="1"/>
      <c r="S76" s="1"/>
      <c r="T76" s="1"/>
      <c r="U76" s="1"/>
      <c r="V76" s="1"/>
      <c r="W76" s="1"/>
    </row>
    <row r="77" spans="1:23" ht="14.25" customHeight="1">
      <c r="A77" s="5" t="str">
        <f t="shared" si="67"/>
        <v>508413</v>
      </c>
      <c r="B77" s="2" t="s">
        <v>157</v>
      </c>
      <c r="C77" s="1">
        <v>2510</v>
      </c>
      <c r="D77" s="1" t="s">
        <v>154</v>
      </c>
      <c r="E77" s="1">
        <v>7</v>
      </c>
      <c r="F77" s="1" t="s">
        <v>64</v>
      </c>
      <c r="G77" s="2" t="s">
        <v>16</v>
      </c>
      <c r="H77" s="1" t="s">
        <v>17</v>
      </c>
      <c r="I77" s="2" t="str">
        <f t="shared" ref="I77:J77" si="78">LEFT(F77,2)</f>
        <v>17</v>
      </c>
      <c r="J77" s="2" t="str">
        <f t="shared" si="78"/>
        <v>13</v>
      </c>
      <c r="K77" s="1">
        <f t="shared" si="1"/>
        <v>4</v>
      </c>
      <c r="M77" t="s">
        <v>117</v>
      </c>
      <c r="N77" t="s">
        <v>50</v>
      </c>
      <c r="O77" t="s">
        <v>20</v>
      </c>
    </row>
    <row r="78" spans="1:23" ht="14.25" customHeight="1">
      <c r="A78" s="5" t="str">
        <f t="shared" si="67"/>
        <v>508247</v>
      </c>
      <c r="B78" s="2" t="s">
        <v>158</v>
      </c>
      <c r="C78" s="1">
        <v>2507</v>
      </c>
      <c r="D78" s="1" t="s">
        <v>159</v>
      </c>
      <c r="E78" s="1">
        <v>4</v>
      </c>
      <c r="F78" s="1" t="s">
        <v>137</v>
      </c>
      <c r="G78" s="2" t="s">
        <v>15</v>
      </c>
      <c r="H78" s="1" t="s">
        <v>17</v>
      </c>
      <c r="I78" s="2" t="str">
        <f t="shared" ref="I78:J78" si="79">LEFT(F78,2)</f>
        <v>23</v>
      </c>
      <c r="J78" s="2" t="str">
        <f t="shared" si="79"/>
        <v>15</v>
      </c>
      <c r="K78" s="1">
        <f t="shared" si="1"/>
        <v>8</v>
      </c>
      <c r="M78" t="s">
        <v>18</v>
      </c>
      <c r="N78" t="s">
        <v>19</v>
      </c>
      <c r="O78" t="s">
        <v>20</v>
      </c>
    </row>
    <row r="79" spans="1:23" ht="14.25" customHeight="1">
      <c r="A79" s="5" t="str">
        <f t="shared" si="67"/>
        <v>509738</v>
      </c>
      <c r="B79" s="2" t="s">
        <v>160</v>
      </c>
      <c r="C79" s="1">
        <v>2507</v>
      </c>
      <c r="D79" s="1" t="s">
        <v>161</v>
      </c>
      <c r="E79" s="1">
        <v>5</v>
      </c>
      <c r="F79" s="1" t="s">
        <v>137</v>
      </c>
      <c r="G79" s="2" t="s">
        <v>100</v>
      </c>
      <c r="H79" s="1" t="s">
        <v>17</v>
      </c>
      <c r="I79" s="2" t="str">
        <f t="shared" ref="I79:J79" si="80">LEFT(F79,2)</f>
        <v>23</v>
      </c>
      <c r="J79" s="2" t="str">
        <f t="shared" si="80"/>
        <v>19</v>
      </c>
      <c r="K79" s="1">
        <f t="shared" si="1"/>
        <v>4</v>
      </c>
      <c r="M79" t="s">
        <v>18</v>
      </c>
      <c r="N79" t="s">
        <v>19</v>
      </c>
      <c r="O79" t="s">
        <v>20</v>
      </c>
    </row>
    <row r="80" spans="1:23" ht="14.25" customHeight="1">
      <c r="A80" s="5" t="str">
        <f t="shared" si="67"/>
        <v>509740</v>
      </c>
      <c r="B80" s="2" t="s">
        <v>162</v>
      </c>
      <c r="C80" s="1">
        <v>2507</v>
      </c>
      <c r="D80" s="1" t="s">
        <v>163</v>
      </c>
      <c r="E80" s="1">
        <v>4</v>
      </c>
      <c r="F80" s="1" t="s">
        <v>137</v>
      </c>
      <c r="G80" s="2" t="s">
        <v>100</v>
      </c>
      <c r="H80" s="1" t="s">
        <v>17</v>
      </c>
      <c r="I80" s="2" t="str">
        <f t="shared" ref="I80:J80" si="81">LEFT(F80,2)</f>
        <v>23</v>
      </c>
      <c r="J80" s="2" t="str">
        <f t="shared" si="81"/>
        <v>19</v>
      </c>
      <c r="K80" s="1">
        <f t="shared" si="1"/>
        <v>4</v>
      </c>
      <c r="M80" t="s">
        <v>24</v>
      </c>
      <c r="N80" t="s">
        <v>19</v>
      </c>
      <c r="O80" t="s">
        <v>20</v>
      </c>
    </row>
    <row r="81" spans="1:15" ht="14.25" customHeight="1">
      <c r="A81" s="5" t="str">
        <f t="shared" si="67"/>
        <v>509752</v>
      </c>
      <c r="B81" s="2" t="s">
        <v>164</v>
      </c>
      <c r="C81" s="1">
        <v>2507</v>
      </c>
      <c r="D81" s="1" t="s">
        <v>165</v>
      </c>
      <c r="E81" s="1">
        <v>2</v>
      </c>
      <c r="F81" s="1" t="s">
        <v>137</v>
      </c>
      <c r="G81" s="2" t="s">
        <v>15</v>
      </c>
      <c r="H81" s="1" t="s">
        <v>17</v>
      </c>
      <c r="I81" s="2" t="str">
        <f t="shared" ref="I81:J81" si="82">LEFT(F81,2)</f>
        <v>23</v>
      </c>
      <c r="J81" s="2" t="str">
        <f t="shared" si="82"/>
        <v>15</v>
      </c>
      <c r="K81" s="1">
        <f t="shared" si="1"/>
        <v>8</v>
      </c>
      <c r="M81" t="s">
        <v>18</v>
      </c>
      <c r="N81" t="s">
        <v>19</v>
      </c>
      <c r="O81" t="s">
        <v>20</v>
      </c>
    </row>
    <row r="82" spans="1:15" ht="14.25" customHeight="1">
      <c r="A82" s="5" t="str">
        <f t="shared" si="67"/>
        <v>513269</v>
      </c>
      <c r="B82" s="2" t="s">
        <v>166</v>
      </c>
      <c r="C82" s="1">
        <v>2507</v>
      </c>
      <c r="D82" s="1" t="s">
        <v>167</v>
      </c>
      <c r="E82" s="1">
        <v>1</v>
      </c>
      <c r="F82" s="1" t="s">
        <v>137</v>
      </c>
      <c r="G82" s="2" t="s">
        <v>100</v>
      </c>
      <c r="H82" s="1" t="s">
        <v>17</v>
      </c>
      <c r="I82" s="2" t="str">
        <f t="shared" ref="I82:J82" si="83">LEFT(F82,2)</f>
        <v>23</v>
      </c>
      <c r="J82" s="2" t="str">
        <f t="shared" si="83"/>
        <v>19</v>
      </c>
      <c r="K82" s="1">
        <f t="shared" si="1"/>
        <v>4</v>
      </c>
      <c r="M82" t="s">
        <v>18</v>
      </c>
      <c r="N82" t="s">
        <v>19</v>
      </c>
      <c r="O82" t="s">
        <v>20</v>
      </c>
    </row>
    <row r="83" spans="1:15" ht="14.25" customHeight="1">
      <c r="A83" s="5" t="str">
        <f t="shared" si="67"/>
        <v>472140</v>
      </c>
      <c r="B83" s="2" t="s">
        <v>168</v>
      </c>
      <c r="C83" s="1">
        <v>2407</v>
      </c>
      <c r="D83" s="1" t="s">
        <v>169</v>
      </c>
      <c r="E83" s="1">
        <v>2</v>
      </c>
      <c r="F83" s="1" t="s">
        <v>150</v>
      </c>
      <c r="G83" s="2" t="s">
        <v>150</v>
      </c>
      <c r="H83" s="1" t="s">
        <v>17</v>
      </c>
      <c r="I83" s="2" t="str">
        <f t="shared" ref="I83:J83" si="84">LEFT(F83,2)</f>
        <v>24</v>
      </c>
      <c r="J83" s="2" t="str">
        <f t="shared" si="84"/>
        <v>24</v>
      </c>
      <c r="K83" s="1">
        <f t="shared" si="1"/>
        <v>0</v>
      </c>
      <c r="M83" t="s">
        <v>18</v>
      </c>
      <c r="N83" t="s">
        <v>19</v>
      </c>
      <c r="O83" t="s">
        <v>20</v>
      </c>
    </row>
    <row r="84" spans="1:15" ht="14.25" customHeight="1">
      <c r="A84" s="5" t="str">
        <f t="shared" si="67"/>
        <v>472140</v>
      </c>
      <c r="B84" s="2" t="s">
        <v>170</v>
      </c>
      <c r="C84" s="1">
        <v>2407</v>
      </c>
      <c r="D84" s="1" t="s">
        <v>169</v>
      </c>
      <c r="E84" s="1">
        <v>6</v>
      </c>
      <c r="F84" s="1" t="s">
        <v>150</v>
      </c>
      <c r="G84" s="2" t="s">
        <v>150</v>
      </c>
      <c r="H84" s="1" t="s">
        <v>17</v>
      </c>
      <c r="I84" s="2" t="str">
        <f t="shared" ref="I84:J84" si="85">LEFT(F84,2)</f>
        <v>24</v>
      </c>
      <c r="J84" s="2" t="str">
        <f t="shared" si="85"/>
        <v>24</v>
      </c>
      <c r="K84" s="1">
        <f t="shared" si="1"/>
        <v>0</v>
      </c>
      <c r="M84" t="s">
        <v>18</v>
      </c>
      <c r="N84" t="s">
        <v>19</v>
      </c>
      <c r="O84" t="s">
        <v>20</v>
      </c>
    </row>
    <row r="85" spans="1:15" ht="14.25" customHeight="1">
      <c r="A85" s="5" t="str">
        <f t="shared" si="67"/>
        <v>506379</v>
      </c>
      <c r="B85" s="2" t="s">
        <v>171</v>
      </c>
      <c r="C85" s="1">
        <v>2507</v>
      </c>
      <c r="D85" s="1" t="s">
        <v>172</v>
      </c>
      <c r="E85" s="1">
        <v>3</v>
      </c>
      <c r="F85" s="1" t="s">
        <v>150</v>
      </c>
      <c r="G85" s="2" t="s">
        <v>108</v>
      </c>
      <c r="H85" s="1" t="s">
        <v>17</v>
      </c>
      <c r="I85" s="2" t="str">
        <f t="shared" ref="I85:J85" si="86">LEFT(F85,2)</f>
        <v>24</v>
      </c>
      <c r="J85" s="2" t="str">
        <f t="shared" si="86"/>
        <v>20</v>
      </c>
      <c r="K85" s="1">
        <f t="shared" si="1"/>
        <v>4</v>
      </c>
      <c r="M85" t="s">
        <v>18</v>
      </c>
      <c r="N85" t="s">
        <v>19</v>
      </c>
      <c r="O85" t="s">
        <v>20</v>
      </c>
    </row>
    <row r="86" spans="1:15" ht="14.25" customHeight="1">
      <c r="A86" s="5" t="str">
        <f t="shared" si="67"/>
        <v>506389</v>
      </c>
      <c r="B86" s="2" t="s">
        <v>173</v>
      </c>
      <c r="C86" s="1">
        <v>2507</v>
      </c>
      <c r="D86" s="1" t="s">
        <v>174</v>
      </c>
      <c r="E86" s="1">
        <v>2</v>
      </c>
      <c r="F86" s="1" t="s">
        <v>150</v>
      </c>
      <c r="G86" s="2" t="s">
        <v>15</v>
      </c>
      <c r="H86" s="1" t="s">
        <v>17</v>
      </c>
      <c r="I86" s="2" t="str">
        <f t="shared" ref="I86:J86" si="87">LEFT(F86,2)</f>
        <v>24</v>
      </c>
      <c r="J86" s="2" t="str">
        <f t="shared" si="87"/>
        <v>15</v>
      </c>
      <c r="K86" s="1">
        <f t="shared" si="1"/>
        <v>9</v>
      </c>
      <c r="M86" t="s">
        <v>18</v>
      </c>
      <c r="N86" t="s">
        <v>19</v>
      </c>
      <c r="O86" t="s">
        <v>20</v>
      </c>
    </row>
    <row r="87" spans="1:15" ht="14.25" customHeight="1">
      <c r="A87" s="5" t="str">
        <f t="shared" si="67"/>
        <v>514435</v>
      </c>
      <c r="B87" s="2" t="s">
        <v>175</v>
      </c>
      <c r="C87" s="1">
        <v>2510</v>
      </c>
      <c r="D87" s="1" t="s">
        <v>176</v>
      </c>
      <c r="E87" s="1">
        <v>1</v>
      </c>
      <c r="F87" s="1" t="s">
        <v>150</v>
      </c>
      <c r="G87" s="2" t="s">
        <v>16</v>
      </c>
      <c r="H87" s="1" t="s">
        <v>17</v>
      </c>
      <c r="I87" s="2" t="str">
        <f t="shared" ref="I87:J87" si="88">LEFT(F87,2)</f>
        <v>24</v>
      </c>
      <c r="J87" s="2" t="str">
        <f t="shared" si="88"/>
        <v>13</v>
      </c>
      <c r="K87" s="1">
        <f t="shared" si="1"/>
        <v>11</v>
      </c>
      <c r="M87" t="s">
        <v>18</v>
      </c>
      <c r="N87" t="s">
        <v>19</v>
      </c>
      <c r="O87" t="s">
        <v>20</v>
      </c>
    </row>
    <row r="88" spans="1:15" ht="14.25" customHeight="1">
      <c r="A88" s="5" t="str">
        <f t="shared" si="67"/>
        <v>514435</v>
      </c>
      <c r="B88" s="2" t="s">
        <v>177</v>
      </c>
      <c r="C88" s="1">
        <v>2510</v>
      </c>
      <c r="D88" s="1" t="s">
        <v>176</v>
      </c>
      <c r="E88" s="1">
        <v>1</v>
      </c>
      <c r="F88" s="1" t="s">
        <v>150</v>
      </c>
      <c r="G88" s="2" t="s">
        <v>16</v>
      </c>
      <c r="H88" s="1" t="s">
        <v>17</v>
      </c>
      <c r="I88" s="2" t="str">
        <f t="shared" ref="I88:J88" si="89">LEFT(F88,2)</f>
        <v>24</v>
      </c>
      <c r="J88" s="2" t="str">
        <f t="shared" si="89"/>
        <v>13</v>
      </c>
      <c r="K88" s="1">
        <f t="shared" si="1"/>
        <v>11</v>
      </c>
      <c r="M88" t="s">
        <v>18</v>
      </c>
      <c r="N88" t="s">
        <v>19</v>
      </c>
      <c r="O88" t="s">
        <v>20</v>
      </c>
    </row>
    <row r="89" spans="1:15" ht="14.25" customHeight="1">
      <c r="A89" s="5" t="str">
        <f t="shared" si="67"/>
        <v>514435</v>
      </c>
      <c r="B89" s="2" t="s">
        <v>178</v>
      </c>
      <c r="C89" s="1">
        <v>2510</v>
      </c>
      <c r="D89" s="1" t="s">
        <v>176</v>
      </c>
      <c r="E89" s="1">
        <v>1</v>
      </c>
      <c r="F89" s="1" t="s">
        <v>150</v>
      </c>
      <c r="G89" s="2" t="s">
        <v>16</v>
      </c>
      <c r="H89" s="1" t="s">
        <v>17</v>
      </c>
      <c r="I89" s="2" t="str">
        <f t="shared" ref="I89:J89" si="90">LEFT(F89,2)</f>
        <v>24</v>
      </c>
      <c r="J89" s="2" t="str">
        <f t="shared" si="90"/>
        <v>13</v>
      </c>
      <c r="K89" s="1">
        <f t="shared" si="1"/>
        <v>11</v>
      </c>
      <c r="M89" t="s">
        <v>24</v>
      </c>
      <c r="N89" t="s">
        <v>19</v>
      </c>
      <c r="O89" t="s">
        <v>20</v>
      </c>
    </row>
    <row r="90" spans="1:15" ht="14.25" customHeight="1">
      <c r="A90" s="5" t="str">
        <f t="shared" si="67"/>
        <v>514448</v>
      </c>
      <c r="B90" s="2" t="s">
        <v>179</v>
      </c>
      <c r="C90" s="1">
        <v>2510</v>
      </c>
      <c r="D90" s="1" t="s">
        <v>180</v>
      </c>
      <c r="E90" s="1">
        <v>1</v>
      </c>
      <c r="F90" s="1" t="s">
        <v>150</v>
      </c>
      <c r="G90" s="2" t="s">
        <v>16</v>
      </c>
      <c r="H90" s="1" t="s">
        <v>17</v>
      </c>
      <c r="I90" s="2" t="str">
        <f t="shared" ref="I90:J90" si="91">LEFT(F90,2)</f>
        <v>24</v>
      </c>
      <c r="J90" s="2" t="str">
        <f t="shared" si="91"/>
        <v>13</v>
      </c>
      <c r="K90" s="1">
        <f t="shared" si="1"/>
        <v>11</v>
      </c>
      <c r="M90" t="s">
        <v>18</v>
      </c>
      <c r="N90" t="s">
        <v>19</v>
      </c>
      <c r="O90" t="s">
        <v>20</v>
      </c>
    </row>
    <row r="91" spans="1:15" ht="14.25" customHeight="1">
      <c r="A91" s="5" t="str">
        <f t="shared" si="67"/>
        <v>514448</v>
      </c>
      <c r="B91" s="2" t="s">
        <v>181</v>
      </c>
      <c r="C91" s="1">
        <v>2510</v>
      </c>
      <c r="D91" s="1" t="s">
        <v>180</v>
      </c>
      <c r="E91" s="1">
        <v>4</v>
      </c>
      <c r="F91" s="1" t="s">
        <v>150</v>
      </c>
      <c r="G91" s="2" t="s">
        <v>16</v>
      </c>
      <c r="H91" s="1" t="s">
        <v>17</v>
      </c>
      <c r="I91" s="2" t="str">
        <f t="shared" ref="I91:J91" si="92">LEFT(F91,2)</f>
        <v>24</v>
      </c>
      <c r="J91" s="2" t="str">
        <f t="shared" si="92"/>
        <v>13</v>
      </c>
      <c r="K91" s="1">
        <f t="shared" si="1"/>
        <v>11</v>
      </c>
      <c r="M91" t="s">
        <v>18</v>
      </c>
      <c r="N91" t="s">
        <v>19</v>
      </c>
      <c r="O91" t="s">
        <v>20</v>
      </c>
    </row>
    <row r="92" spans="1:15" ht="14.25" customHeight="1">
      <c r="A92" s="5" t="str">
        <f t="shared" si="67"/>
        <v>514448</v>
      </c>
      <c r="B92" s="2" t="s">
        <v>182</v>
      </c>
      <c r="C92" s="1">
        <v>2510</v>
      </c>
      <c r="D92" s="1" t="s">
        <v>180</v>
      </c>
      <c r="E92" s="1">
        <v>1</v>
      </c>
      <c r="F92" s="1" t="s">
        <v>150</v>
      </c>
      <c r="G92" s="2" t="s">
        <v>16</v>
      </c>
      <c r="H92" s="1" t="s">
        <v>17</v>
      </c>
      <c r="I92" s="2" t="str">
        <f t="shared" ref="I92:J92" si="93">LEFT(F92,2)</f>
        <v>24</v>
      </c>
      <c r="J92" s="2" t="str">
        <f t="shared" si="93"/>
        <v>13</v>
      </c>
      <c r="K92" s="1">
        <f t="shared" si="1"/>
        <v>11</v>
      </c>
      <c r="M92" t="s">
        <v>24</v>
      </c>
      <c r="N92" t="s">
        <v>19</v>
      </c>
      <c r="O92" t="s">
        <v>20</v>
      </c>
    </row>
    <row r="93" spans="1:15" ht="14.25" customHeight="1">
      <c r="A93" s="5" t="str">
        <f t="shared" si="67"/>
        <v>540710</v>
      </c>
      <c r="B93" s="2" t="s">
        <v>183</v>
      </c>
      <c r="C93" s="1">
        <v>2510</v>
      </c>
      <c r="D93" s="1" t="s">
        <v>184</v>
      </c>
      <c r="E93" s="1">
        <v>2</v>
      </c>
      <c r="F93" s="1" t="s">
        <v>150</v>
      </c>
      <c r="G93" s="2" t="s">
        <v>16</v>
      </c>
      <c r="H93" s="1" t="s">
        <v>17</v>
      </c>
      <c r="I93" s="2" t="str">
        <f t="shared" ref="I93:J93" si="94">LEFT(F93,2)</f>
        <v>24</v>
      </c>
      <c r="J93" s="2" t="str">
        <f t="shared" si="94"/>
        <v>13</v>
      </c>
      <c r="K93" s="1">
        <f t="shared" si="1"/>
        <v>11</v>
      </c>
      <c r="M93" t="s">
        <v>18</v>
      </c>
      <c r="N93" t="s">
        <v>19</v>
      </c>
      <c r="O93" t="s">
        <v>20</v>
      </c>
    </row>
    <row r="94" spans="1:15" ht="14.25" customHeight="1">
      <c r="A94" s="5" t="str">
        <f t="shared" si="67"/>
        <v>540710</v>
      </c>
      <c r="B94" s="2" t="s">
        <v>185</v>
      </c>
      <c r="C94" s="1">
        <v>2510</v>
      </c>
      <c r="D94" s="1" t="s">
        <v>184</v>
      </c>
      <c r="E94" s="1">
        <v>1</v>
      </c>
      <c r="F94" s="1" t="s">
        <v>150</v>
      </c>
      <c r="G94" s="2" t="s">
        <v>16</v>
      </c>
      <c r="H94" s="1" t="s">
        <v>17</v>
      </c>
      <c r="I94" s="2" t="str">
        <f t="shared" ref="I94:J94" si="95">LEFT(F94,2)</f>
        <v>24</v>
      </c>
      <c r="J94" s="2" t="str">
        <f t="shared" si="95"/>
        <v>13</v>
      </c>
      <c r="K94" s="1">
        <f t="shared" si="1"/>
        <v>11</v>
      </c>
      <c r="M94" t="s">
        <v>18</v>
      </c>
      <c r="N94" t="s">
        <v>19</v>
      </c>
      <c r="O94" t="s">
        <v>20</v>
      </c>
    </row>
    <row r="95" spans="1:15" ht="14.25" customHeight="1">
      <c r="A95" s="5" t="str">
        <f t="shared" si="67"/>
        <v>540710</v>
      </c>
      <c r="B95" s="2" t="s">
        <v>186</v>
      </c>
      <c r="C95" s="1">
        <v>2510</v>
      </c>
      <c r="D95" s="1" t="s">
        <v>184</v>
      </c>
      <c r="E95" s="1">
        <v>1</v>
      </c>
      <c r="F95" s="1" t="s">
        <v>150</v>
      </c>
      <c r="G95" s="2" t="s">
        <v>16</v>
      </c>
      <c r="H95" s="1" t="s">
        <v>17</v>
      </c>
      <c r="I95" s="2" t="str">
        <f t="shared" ref="I95:J95" si="96">LEFT(F95,2)</f>
        <v>24</v>
      </c>
      <c r="J95" s="2" t="str">
        <f t="shared" si="96"/>
        <v>13</v>
      </c>
      <c r="K95" s="1">
        <f t="shared" si="1"/>
        <v>11</v>
      </c>
      <c r="M95" t="s">
        <v>18</v>
      </c>
      <c r="N95" t="s">
        <v>19</v>
      </c>
      <c r="O95" t="s">
        <v>20</v>
      </c>
    </row>
    <row r="96" spans="1:15" ht="14.25" customHeight="1">
      <c r="A96" s="5" t="str">
        <f t="shared" si="67"/>
        <v>495193</v>
      </c>
      <c r="B96" s="2" t="s">
        <v>187</v>
      </c>
      <c r="C96" s="1">
        <v>2510</v>
      </c>
      <c r="D96" s="1" t="s">
        <v>188</v>
      </c>
      <c r="E96" s="1">
        <v>7</v>
      </c>
      <c r="F96" s="1" t="s">
        <v>15</v>
      </c>
      <c r="G96" s="2" t="s">
        <v>23</v>
      </c>
      <c r="H96" s="1" t="s">
        <v>17</v>
      </c>
      <c r="I96" s="2" t="str">
        <f t="shared" ref="I96:J96" si="97">LEFT(F96,2)</f>
        <v>15</v>
      </c>
      <c r="J96" s="2" t="str">
        <f t="shared" si="97"/>
        <v>14</v>
      </c>
      <c r="K96" s="1">
        <f t="shared" si="1"/>
        <v>1</v>
      </c>
      <c r="M96" t="s">
        <v>27</v>
      </c>
      <c r="N96" t="s">
        <v>19</v>
      </c>
      <c r="O96" t="s">
        <v>20</v>
      </c>
    </row>
    <row r="97" spans="1:23" ht="14.25" customHeight="1">
      <c r="A97" s="5" t="str">
        <f t="shared" si="67"/>
        <v>495193</v>
      </c>
      <c r="B97" s="2" t="s">
        <v>189</v>
      </c>
      <c r="C97" s="1">
        <v>2510</v>
      </c>
      <c r="D97" s="1" t="s">
        <v>188</v>
      </c>
      <c r="E97" s="1">
        <v>6</v>
      </c>
      <c r="F97" s="1" t="s">
        <v>15</v>
      </c>
      <c r="G97" s="2" t="s">
        <v>23</v>
      </c>
      <c r="H97" s="1" t="s">
        <v>17</v>
      </c>
      <c r="I97" s="2" t="str">
        <f t="shared" ref="I97:J97" si="98">LEFT(F97,2)</f>
        <v>15</v>
      </c>
      <c r="J97" s="2" t="str">
        <f t="shared" si="98"/>
        <v>14</v>
      </c>
      <c r="K97" s="1">
        <f t="shared" si="1"/>
        <v>1</v>
      </c>
      <c r="M97" t="s">
        <v>27</v>
      </c>
      <c r="N97" t="s">
        <v>19</v>
      </c>
      <c r="O97" t="s">
        <v>20</v>
      </c>
      <c r="P97" s="1"/>
      <c r="Q97" s="1"/>
      <c r="R97" s="1"/>
      <c r="S97" s="1"/>
      <c r="T97" s="1"/>
      <c r="U97" s="1"/>
      <c r="V97" s="1"/>
      <c r="W97" s="1"/>
    </row>
    <row r="98" spans="1:23" ht="14.25" customHeight="1">
      <c r="A98" s="5" t="str">
        <f t="shared" si="67"/>
        <v>495193</v>
      </c>
      <c r="B98" s="2" t="s">
        <v>190</v>
      </c>
      <c r="C98" s="1">
        <v>2510</v>
      </c>
      <c r="D98" s="1" t="s">
        <v>188</v>
      </c>
      <c r="E98" s="1">
        <v>4</v>
      </c>
      <c r="F98" s="1" t="s">
        <v>15</v>
      </c>
      <c r="G98" s="2" t="s">
        <v>23</v>
      </c>
      <c r="H98" s="1" t="s">
        <v>17</v>
      </c>
      <c r="I98" s="2" t="str">
        <f t="shared" ref="I98:J98" si="99">LEFT(F98,2)</f>
        <v>15</v>
      </c>
      <c r="J98" s="2" t="str">
        <f t="shared" si="99"/>
        <v>14</v>
      </c>
      <c r="K98" s="1">
        <f t="shared" si="1"/>
        <v>1</v>
      </c>
      <c r="M98" t="s">
        <v>27</v>
      </c>
      <c r="N98" t="s">
        <v>19</v>
      </c>
      <c r="O98" t="s">
        <v>20</v>
      </c>
    </row>
    <row r="99" spans="1:23" ht="14.25" customHeight="1">
      <c r="A99" s="5" t="str">
        <f t="shared" si="67"/>
        <v>514436</v>
      </c>
      <c r="B99" s="2" t="s">
        <v>191</v>
      </c>
      <c r="C99" s="1">
        <v>2510</v>
      </c>
      <c r="D99" s="1" t="s">
        <v>192</v>
      </c>
      <c r="E99" s="1">
        <v>1</v>
      </c>
      <c r="F99" s="1" t="s">
        <v>193</v>
      </c>
      <c r="G99" s="2" t="s">
        <v>16</v>
      </c>
      <c r="H99" s="1" t="s">
        <v>17</v>
      </c>
      <c r="I99" s="2" t="str">
        <f t="shared" ref="I99:J99" si="100">LEFT(F99,2)</f>
        <v>26</v>
      </c>
      <c r="J99" s="2" t="str">
        <f t="shared" si="100"/>
        <v>13</v>
      </c>
      <c r="K99" s="1">
        <f t="shared" si="1"/>
        <v>13</v>
      </c>
      <c r="M99" t="s">
        <v>24</v>
      </c>
      <c r="N99" t="s">
        <v>19</v>
      </c>
      <c r="O99" t="s">
        <v>20</v>
      </c>
    </row>
    <row r="100" spans="1:23" ht="14.25" customHeight="1">
      <c r="A100" s="5" t="str">
        <f t="shared" si="67"/>
        <v>514436</v>
      </c>
      <c r="B100" s="2" t="s">
        <v>194</v>
      </c>
      <c r="C100" s="1">
        <v>2510</v>
      </c>
      <c r="D100" s="1" t="s">
        <v>192</v>
      </c>
      <c r="E100" s="1">
        <v>5</v>
      </c>
      <c r="F100" s="1" t="s">
        <v>150</v>
      </c>
      <c r="G100" s="2" t="s">
        <v>16</v>
      </c>
      <c r="H100" s="1" t="s">
        <v>17</v>
      </c>
      <c r="I100" s="2" t="str">
        <f t="shared" ref="I100:J100" si="101">LEFT(F100,2)</f>
        <v>24</v>
      </c>
      <c r="J100" s="2" t="str">
        <f t="shared" si="101"/>
        <v>13</v>
      </c>
      <c r="K100" s="1">
        <f t="shared" si="1"/>
        <v>11</v>
      </c>
      <c r="M100" t="s">
        <v>24</v>
      </c>
      <c r="N100" t="s">
        <v>19</v>
      </c>
      <c r="O100" t="s">
        <v>20</v>
      </c>
    </row>
    <row r="101" spans="1:23" ht="14.25" customHeight="1">
      <c r="A101" s="5" t="str">
        <f t="shared" si="67"/>
        <v>514436</v>
      </c>
      <c r="B101" s="2" t="s">
        <v>195</v>
      </c>
      <c r="C101" s="1">
        <v>2510</v>
      </c>
      <c r="D101" s="1" t="s">
        <v>192</v>
      </c>
      <c r="E101" s="1">
        <v>2</v>
      </c>
      <c r="F101" s="1" t="s">
        <v>150</v>
      </c>
      <c r="G101" s="2" t="s">
        <v>16</v>
      </c>
      <c r="H101" s="1" t="s">
        <v>17</v>
      </c>
      <c r="I101" s="2" t="str">
        <f t="shared" ref="I101:J101" si="102">LEFT(F101,2)</f>
        <v>24</v>
      </c>
      <c r="J101" s="2" t="str">
        <f t="shared" si="102"/>
        <v>13</v>
      </c>
      <c r="K101" s="1">
        <f t="shared" si="1"/>
        <v>11</v>
      </c>
      <c r="M101" t="s">
        <v>24</v>
      </c>
      <c r="N101" t="s">
        <v>19</v>
      </c>
      <c r="O101" t="s">
        <v>20</v>
      </c>
    </row>
    <row r="102" spans="1:23" ht="14.25" customHeight="1">
      <c r="A102" s="5" t="str">
        <f t="shared" si="67"/>
        <v>514436</v>
      </c>
      <c r="B102" s="2" t="s">
        <v>196</v>
      </c>
      <c r="C102" s="1">
        <v>2510</v>
      </c>
      <c r="D102" s="1" t="s">
        <v>192</v>
      </c>
      <c r="E102" s="1">
        <v>2</v>
      </c>
      <c r="F102" s="1" t="s">
        <v>150</v>
      </c>
      <c r="G102" s="2" t="s">
        <v>16</v>
      </c>
      <c r="H102" s="1" t="s">
        <v>17</v>
      </c>
      <c r="I102" s="2" t="str">
        <f t="shared" ref="I102:J102" si="103">LEFT(F102,2)</f>
        <v>24</v>
      </c>
      <c r="J102" s="2" t="str">
        <f t="shared" si="103"/>
        <v>13</v>
      </c>
      <c r="K102" s="1">
        <f t="shared" si="1"/>
        <v>11</v>
      </c>
      <c r="M102" t="s">
        <v>24</v>
      </c>
      <c r="N102" t="s">
        <v>19</v>
      </c>
      <c r="O102" t="s">
        <v>20</v>
      </c>
    </row>
    <row r="103" spans="1:23" ht="14.25" customHeight="1">
      <c r="A103" s="5" t="str">
        <f t="shared" si="67"/>
        <v>514439</v>
      </c>
      <c r="B103" s="2" t="s">
        <v>197</v>
      </c>
      <c r="C103" s="1">
        <v>2510</v>
      </c>
      <c r="D103" s="1" t="s">
        <v>198</v>
      </c>
      <c r="E103" s="1">
        <v>2</v>
      </c>
      <c r="F103" s="1" t="s">
        <v>193</v>
      </c>
      <c r="G103" s="2" t="s">
        <v>16</v>
      </c>
      <c r="H103" s="1" t="s">
        <v>17</v>
      </c>
      <c r="I103" s="2" t="str">
        <f t="shared" ref="I103:J103" si="104">LEFT(F103,2)</f>
        <v>26</v>
      </c>
      <c r="J103" s="2" t="str">
        <f t="shared" si="104"/>
        <v>13</v>
      </c>
      <c r="K103" s="1">
        <f t="shared" si="1"/>
        <v>13</v>
      </c>
      <c r="M103" t="s">
        <v>24</v>
      </c>
      <c r="N103" t="s">
        <v>19</v>
      </c>
      <c r="O103" t="s">
        <v>20</v>
      </c>
    </row>
    <row r="104" spans="1:23" ht="14.25" customHeight="1">
      <c r="A104" s="5" t="str">
        <f t="shared" si="67"/>
        <v>514439</v>
      </c>
      <c r="B104" s="2" t="s">
        <v>199</v>
      </c>
      <c r="C104" s="1">
        <v>2510</v>
      </c>
      <c r="D104" s="1" t="s">
        <v>198</v>
      </c>
      <c r="E104" s="1">
        <v>8</v>
      </c>
      <c r="F104" s="1" t="s">
        <v>150</v>
      </c>
      <c r="G104" s="2" t="s">
        <v>16</v>
      </c>
      <c r="H104" s="1" t="s">
        <v>17</v>
      </c>
      <c r="I104" s="2" t="str">
        <f t="shared" ref="I104:J104" si="105">LEFT(F104,2)</f>
        <v>24</v>
      </c>
      <c r="J104" s="2" t="str">
        <f t="shared" si="105"/>
        <v>13</v>
      </c>
      <c r="K104" s="1">
        <f t="shared" si="1"/>
        <v>11</v>
      </c>
      <c r="M104" t="s">
        <v>24</v>
      </c>
      <c r="N104" t="s">
        <v>19</v>
      </c>
      <c r="O104" t="s">
        <v>20</v>
      </c>
    </row>
    <row r="105" spans="1:23" ht="14.25" customHeight="1">
      <c r="A105" s="5" t="str">
        <f t="shared" si="67"/>
        <v>514439</v>
      </c>
      <c r="B105" s="2" t="s">
        <v>200</v>
      </c>
      <c r="C105" s="1">
        <v>2510</v>
      </c>
      <c r="D105" s="1" t="s">
        <v>198</v>
      </c>
      <c r="E105" s="1">
        <v>2</v>
      </c>
      <c r="F105" s="1" t="s">
        <v>150</v>
      </c>
      <c r="G105" s="2" t="s">
        <v>16</v>
      </c>
      <c r="H105" s="1" t="s">
        <v>17</v>
      </c>
      <c r="I105" s="2" t="str">
        <f t="shared" ref="I105:J105" si="106">LEFT(F105,2)</f>
        <v>24</v>
      </c>
      <c r="J105" s="2" t="str">
        <f t="shared" si="106"/>
        <v>13</v>
      </c>
      <c r="K105" s="1">
        <f t="shared" si="1"/>
        <v>11</v>
      </c>
      <c r="M105" t="s">
        <v>24</v>
      </c>
      <c r="N105" t="s">
        <v>19</v>
      </c>
      <c r="O105" t="s">
        <v>20</v>
      </c>
    </row>
    <row r="106" spans="1:23" ht="14.25" customHeight="1">
      <c r="A106" s="5" t="str">
        <f t="shared" si="67"/>
        <v>514439</v>
      </c>
      <c r="B106" s="2" t="s">
        <v>201</v>
      </c>
      <c r="C106" s="1">
        <v>2510</v>
      </c>
      <c r="D106" s="1" t="s">
        <v>198</v>
      </c>
      <c r="E106" s="1">
        <v>4</v>
      </c>
      <c r="F106" s="1" t="s">
        <v>150</v>
      </c>
      <c r="G106" s="2" t="s">
        <v>16</v>
      </c>
      <c r="H106" s="1" t="s">
        <v>17</v>
      </c>
      <c r="I106" s="2" t="str">
        <f t="shared" ref="I106:J106" si="107">LEFT(F106,2)</f>
        <v>24</v>
      </c>
      <c r="J106" s="2" t="str">
        <f t="shared" si="107"/>
        <v>13</v>
      </c>
      <c r="K106" s="1">
        <f t="shared" si="1"/>
        <v>11</v>
      </c>
      <c r="M106" t="s">
        <v>24</v>
      </c>
      <c r="N106" t="s">
        <v>19</v>
      </c>
      <c r="O106" t="s">
        <v>20</v>
      </c>
    </row>
    <row r="107" spans="1:23" ht="14.25" customHeight="1">
      <c r="A107" s="5" t="str">
        <f t="shared" si="67"/>
        <v>537604</v>
      </c>
      <c r="B107" s="2" t="s">
        <v>202</v>
      </c>
      <c r="C107" s="1">
        <v>2507</v>
      </c>
      <c r="D107" s="1" t="s">
        <v>203</v>
      </c>
      <c r="E107" s="1">
        <v>1</v>
      </c>
      <c r="F107" s="1" t="s">
        <v>204</v>
      </c>
      <c r="G107" s="2" t="s">
        <v>113</v>
      </c>
      <c r="H107" s="1" t="s">
        <v>17</v>
      </c>
      <c r="I107" s="2" t="str">
        <f t="shared" ref="I107:J107" si="108">LEFT(F107,2)</f>
        <v>25</v>
      </c>
      <c r="J107" s="2" t="str">
        <f t="shared" si="108"/>
        <v>21</v>
      </c>
      <c r="K107" s="1">
        <f t="shared" si="1"/>
        <v>4</v>
      </c>
      <c r="M107" t="s">
        <v>24</v>
      </c>
      <c r="N107" t="s">
        <v>19</v>
      </c>
      <c r="O107" t="s">
        <v>20</v>
      </c>
    </row>
    <row r="108" spans="1:23" ht="14.25" customHeight="1">
      <c r="A108" s="5" t="str">
        <f t="shared" si="67"/>
        <v>506695</v>
      </c>
      <c r="B108" s="2" t="s">
        <v>205</v>
      </c>
      <c r="C108" s="1">
        <v>2507</v>
      </c>
      <c r="D108" s="1" t="s">
        <v>206</v>
      </c>
      <c r="E108" s="1">
        <v>1</v>
      </c>
      <c r="F108" s="1" t="s">
        <v>193</v>
      </c>
      <c r="G108" s="2" t="s">
        <v>142</v>
      </c>
      <c r="H108" s="1" t="s">
        <v>17</v>
      </c>
      <c r="I108" s="2" t="str">
        <f t="shared" ref="I108:J108" si="109">LEFT(F108,2)</f>
        <v>26</v>
      </c>
      <c r="J108" s="2" t="str">
        <f t="shared" si="109"/>
        <v>22</v>
      </c>
      <c r="K108" s="1">
        <f t="shared" si="1"/>
        <v>4</v>
      </c>
      <c r="M108" t="s">
        <v>151</v>
      </c>
      <c r="N108" t="s">
        <v>50</v>
      </c>
      <c r="O108" t="s">
        <v>20</v>
      </c>
    </row>
    <row r="109" spans="1:23" ht="14.25" customHeight="1">
      <c r="A109" s="5" t="str">
        <f t="shared" si="67"/>
        <v>508113</v>
      </c>
      <c r="B109" s="2" t="s">
        <v>207</v>
      </c>
      <c r="C109" s="1">
        <v>2507</v>
      </c>
      <c r="D109" s="1" t="s">
        <v>208</v>
      </c>
      <c r="E109" s="1">
        <v>1</v>
      </c>
      <c r="F109" s="1" t="s">
        <v>193</v>
      </c>
      <c r="G109" s="2" t="s">
        <v>142</v>
      </c>
      <c r="H109" s="1" t="s">
        <v>17</v>
      </c>
      <c r="I109" s="2" t="str">
        <f t="shared" ref="I109:J109" si="110">LEFT(F109,2)</f>
        <v>26</v>
      </c>
      <c r="J109" s="2" t="str">
        <f t="shared" si="110"/>
        <v>22</v>
      </c>
      <c r="K109" s="1">
        <f t="shared" si="1"/>
        <v>4</v>
      </c>
      <c r="M109" t="s">
        <v>209</v>
      </c>
      <c r="N109" t="s">
        <v>19</v>
      </c>
      <c r="O109" t="s">
        <v>20</v>
      </c>
    </row>
    <row r="110" spans="1:23" ht="14.25" customHeight="1">
      <c r="A110" s="5" t="str">
        <f t="shared" si="67"/>
        <v>508293</v>
      </c>
      <c r="B110" s="2" t="s">
        <v>210</v>
      </c>
      <c r="C110" s="1">
        <v>2507</v>
      </c>
      <c r="D110" s="1" t="s">
        <v>211</v>
      </c>
      <c r="E110" s="1">
        <v>1</v>
      </c>
      <c r="F110" s="1" t="s">
        <v>212</v>
      </c>
      <c r="G110" s="2" t="s">
        <v>137</v>
      </c>
      <c r="H110" s="1" t="s">
        <v>17</v>
      </c>
      <c r="I110" s="2" t="str">
        <f t="shared" ref="I110:J110" si="111">LEFT(F110,2)</f>
        <v>27</v>
      </c>
      <c r="J110" s="2" t="str">
        <f t="shared" si="111"/>
        <v>23</v>
      </c>
      <c r="K110" s="1">
        <f t="shared" si="1"/>
        <v>4</v>
      </c>
      <c r="M110" t="s">
        <v>24</v>
      </c>
      <c r="N110" t="s">
        <v>19</v>
      </c>
      <c r="O110" t="s">
        <v>20</v>
      </c>
    </row>
    <row r="111" spans="1:23" ht="14.25" customHeight="1">
      <c r="A111" s="5" t="str">
        <f t="shared" si="67"/>
        <v>508296</v>
      </c>
      <c r="B111" s="2" t="s">
        <v>213</v>
      </c>
      <c r="C111" s="1">
        <v>2507</v>
      </c>
      <c r="D111" s="1" t="s">
        <v>214</v>
      </c>
      <c r="E111" s="1">
        <v>1</v>
      </c>
      <c r="F111" s="1" t="s">
        <v>212</v>
      </c>
      <c r="G111" s="2" t="s">
        <v>137</v>
      </c>
      <c r="H111" s="1" t="s">
        <v>17</v>
      </c>
      <c r="I111" s="2" t="str">
        <f t="shared" ref="I111:J111" si="112">LEFT(F111,2)</f>
        <v>27</v>
      </c>
      <c r="J111" s="2" t="str">
        <f t="shared" si="112"/>
        <v>23</v>
      </c>
      <c r="K111" s="1">
        <f t="shared" si="1"/>
        <v>4</v>
      </c>
      <c r="M111" t="s">
        <v>24</v>
      </c>
      <c r="N111" t="s">
        <v>19</v>
      </c>
      <c r="O111" t="s">
        <v>20</v>
      </c>
    </row>
    <row r="112" spans="1:23" ht="14.25" customHeight="1">
      <c r="A112" s="5" t="str">
        <f t="shared" si="67"/>
        <v>508300</v>
      </c>
      <c r="B112" s="2" t="s">
        <v>215</v>
      </c>
      <c r="C112" s="1">
        <v>2507</v>
      </c>
      <c r="D112" s="1" t="s">
        <v>216</v>
      </c>
      <c r="E112" s="1">
        <v>2</v>
      </c>
      <c r="F112" s="1" t="s">
        <v>212</v>
      </c>
      <c r="G112" s="2" t="s">
        <v>137</v>
      </c>
      <c r="H112" s="1" t="s">
        <v>17</v>
      </c>
      <c r="I112" s="2" t="str">
        <f t="shared" ref="I112:J112" si="113">LEFT(F112,2)</f>
        <v>27</v>
      </c>
      <c r="J112" s="2" t="str">
        <f t="shared" si="113"/>
        <v>23</v>
      </c>
      <c r="K112" s="1">
        <f t="shared" si="1"/>
        <v>4</v>
      </c>
      <c r="M112" t="s">
        <v>24</v>
      </c>
      <c r="N112" t="s">
        <v>19</v>
      </c>
      <c r="O112" t="s">
        <v>20</v>
      </c>
    </row>
    <row r="113" spans="1:15" ht="14.25" customHeight="1">
      <c r="A113" s="5" t="str">
        <f t="shared" si="67"/>
        <v>506404</v>
      </c>
      <c r="B113" s="2" t="s">
        <v>217</v>
      </c>
      <c r="C113" s="1">
        <v>2507</v>
      </c>
      <c r="D113" s="1" t="s">
        <v>218</v>
      </c>
      <c r="E113" s="1">
        <v>2</v>
      </c>
      <c r="F113" s="1" t="s">
        <v>219</v>
      </c>
      <c r="G113" s="2" t="s">
        <v>150</v>
      </c>
      <c r="H113" s="1" t="s">
        <v>17</v>
      </c>
      <c r="I113" s="2" t="str">
        <f t="shared" ref="I113:J113" si="114">LEFT(F113,2)</f>
        <v>28</v>
      </c>
      <c r="J113" s="2" t="str">
        <f t="shared" si="114"/>
        <v>24</v>
      </c>
      <c r="K113" s="1">
        <f t="shared" si="1"/>
        <v>4</v>
      </c>
      <c r="M113" t="s">
        <v>18</v>
      </c>
      <c r="N113" t="s">
        <v>19</v>
      </c>
      <c r="O113" t="s">
        <v>20</v>
      </c>
    </row>
    <row r="114" spans="1:15" ht="14.25" customHeight="1">
      <c r="A114" s="5" t="str">
        <f t="shared" si="67"/>
        <v>539753</v>
      </c>
      <c r="B114" s="2" t="s">
        <v>220</v>
      </c>
      <c r="C114" s="1">
        <v>2510</v>
      </c>
      <c r="D114" s="1" t="s">
        <v>221</v>
      </c>
      <c r="E114" s="1">
        <v>3</v>
      </c>
      <c r="F114" s="1" t="s">
        <v>113</v>
      </c>
      <c r="G114" s="2" t="s">
        <v>33</v>
      </c>
      <c r="H114" s="1" t="s">
        <v>222</v>
      </c>
      <c r="I114" s="2" t="str">
        <f t="shared" ref="I114:J114" si="115">LEFT(F114,2)</f>
        <v>21</v>
      </c>
      <c r="J114" s="2" t="str">
        <f t="shared" si="115"/>
        <v>16</v>
      </c>
      <c r="K114" s="1">
        <f t="shared" si="1"/>
        <v>5</v>
      </c>
      <c r="M114" t="e">
        <v>#N/A</v>
      </c>
      <c r="N114" t="e">
        <v>#N/A</v>
      </c>
      <c r="O114" t="e">
        <v>#N/A</v>
      </c>
    </row>
    <row r="115" spans="1:15" ht="14.25" customHeight="1">
      <c r="A115" s="5" t="str">
        <f t="shared" si="67"/>
        <v>495855</v>
      </c>
      <c r="B115" s="2" t="s">
        <v>223</v>
      </c>
      <c r="C115" s="1">
        <v>2507</v>
      </c>
      <c r="D115" s="1" t="s">
        <v>224</v>
      </c>
      <c r="E115" s="1">
        <v>6</v>
      </c>
      <c r="F115" s="1" t="s">
        <v>113</v>
      </c>
      <c r="G115" s="2" t="s">
        <v>33</v>
      </c>
      <c r="H115" s="1" t="s">
        <v>225</v>
      </c>
      <c r="I115" s="2" t="str">
        <f t="shared" ref="I115:J115" si="116">LEFT(F115,2)</f>
        <v>21</v>
      </c>
      <c r="J115" s="2" t="str">
        <f t="shared" si="116"/>
        <v>16</v>
      </c>
      <c r="K115" s="1">
        <f t="shared" si="1"/>
        <v>5</v>
      </c>
      <c r="M115" t="s">
        <v>24</v>
      </c>
      <c r="N115" t="s">
        <v>19</v>
      </c>
      <c r="O115" t="s">
        <v>225</v>
      </c>
    </row>
    <row r="116" spans="1:15" ht="14.25" customHeight="1">
      <c r="A116" s="5" t="str">
        <f t="shared" si="67"/>
        <v>520619</v>
      </c>
      <c r="B116" s="2" t="s">
        <v>226</v>
      </c>
      <c r="C116" s="1">
        <v>2507</v>
      </c>
      <c r="D116" s="1" t="s">
        <v>227</v>
      </c>
      <c r="E116" s="1">
        <v>4</v>
      </c>
      <c r="F116" s="1" t="s">
        <v>113</v>
      </c>
      <c r="G116" s="2" t="s">
        <v>33</v>
      </c>
      <c r="H116" s="1" t="s">
        <v>225</v>
      </c>
      <c r="I116" s="2" t="str">
        <f t="shared" ref="I116:J116" si="117">LEFT(F116,2)</f>
        <v>21</v>
      </c>
      <c r="J116" s="2" t="str">
        <f t="shared" si="117"/>
        <v>16</v>
      </c>
      <c r="K116" s="1">
        <f t="shared" si="1"/>
        <v>5</v>
      </c>
      <c r="M116" t="s">
        <v>18</v>
      </c>
      <c r="N116" t="s">
        <v>19</v>
      </c>
      <c r="O116" t="s">
        <v>225</v>
      </c>
    </row>
    <row r="117" spans="1:15" ht="14.25" customHeight="1">
      <c r="A117" s="5" t="str">
        <f t="shared" si="67"/>
        <v>494218</v>
      </c>
      <c r="B117" s="2" t="s">
        <v>228</v>
      </c>
      <c r="C117" s="1">
        <v>2510</v>
      </c>
      <c r="D117" s="1" t="s">
        <v>229</v>
      </c>
      <c r="E117" s="1">
        <v>4</v>
      </c>
      <c r="F117" s="1" t="s">
        <v>137</v>
      </c>
      <c r="G117" s="2" t="s">
        <v>81</v>
      </c>
      <c r="H117" s="1" t="s">
        <v>225</v>
      </c>
      <c r="I117" s="2" t="str">
        <f t="shared" ref="I117:J117" si="118">LEFT(F117,2)</f>
        <v>23</v>
      </c>
      <c r="J117" s="2" t="str">
        <f t="shared" si="118"/>
        <v>18</v>
      </c>
      <c r="K117" s="1">
        <f t="shared" si="1"/>
        <v>5</v>
      </c>
      <c r="M117" t="s">
        <v>18</v>
      </c>
      <c r="N117" t="s">
        <v>19</v>
      </c>
      <c r="O117" t="s">
        <v>225</v>
      </c>
    </row>
    <row r="118" spans="1:15" ht="14.25" customHeight="1">
      <c r="A118" s="5" t="str">
        <f t="shared" si="67"/>
        <v>494214</v>
      </c>
      <c r="B118" s="2" t="s">
        <v>230</v>
      </c>
      <c r="C118" s="1">
        <v>2510</v>
      </c>
      <c r="D118" s="1" t="s">
        <v>231</v>
      </c>
      <c r="E118" s="1">
        <v>9</v>
      </c>
      <c r="F118" s="1" t="s">
        <v>137</v>
      </c>
      <c r="G118" s="2" t="s">
        <v>81</v>
      </c>
      <c r="H118" s="1" t="s">
        <v>225</v>
      </c>
      <c r="I118" s="2" t="str">
        <f t="shared" ref="I118:J118" si="119">LEFT(F118,2)</f>
        <v>23</v>
      </c>
      <c r="J118" s="2" t="str">
        <f t="shared" si="119"/>
        <v>18</v>
      </c>
      <c r="K118" s="1">
        <f t="shared" si="1"/>
        <v>5</v>
      </c>
      <c r="M118" t="s">
        <v>18</v>
      </c>
      <c r="N118" t="s">
        <v>19</v>
      </c>
      <c r="O118" t="s">
        <v>225</v>
      </c>
    </row>
    <row r="119" spans="1:15" ht="14.25" customHeight="1">
      <c r="A119" s="5" t="str">
        <f t="shared" si="67"/>
        <v>496471</v>
      </c>
      <c r="B119" s="2" t="s">
        <v>232</v>
      </c>
      <c r="C119" s="1">
        <v>2510</v>
      </c>
      <c r="D119" s="1" t="s">
        <v>233</v>
      </c>
      <c r="E119" s="1">
        <v>3</v>
      </c>
      <c r="F119" s="1" t="s">
        <v>150</v>
      </c>
      <c r="G119" s="2" t="s">
        <v>81</v>
      </c>
      <c r="H119" s="1" t="s">
        <v>225</v>
      </c>
      <c r="I119" s="2" t="str">
        <f t="shared" ref="I119:J119" si="120">LEFT(F119,2)</f>
        <v>24</v>
      </c>
      <c r="J119" s="2" t="str">
        <f t="shared" si="120"/>
        <v>18</v>
      </c>
      <c r="K119" s="1">
        <f t="shared" si="1"/>
        <v>6</v>
      </c>
      <c r="M119" t="s">
        <v>18</v>
      </c>
      <c r="N119" t="s">
        <v>19</v>
      </c>
      <c r="O119" t="s">
        <v>225</v>
      </c>
    </row>
    <row r="120" spans="1:15" ht="14.25" customHeight="1">
      <c r="A120" s="5" t="str">
        <f t="shared" si="67"/>
        <v>494638</v>
      </c>
      <c r="B120" s="2" t="s">
        <v>234</v>
      </c>
      <c r="C120" s="1">
        <v>2510</v>
      </c>
      <c r="D120" s="1" t="s">
        <v>235</v>
      </c>
      <c r="E120" s="1">
        <v>1</v>
      </c>
      <c r="F120" s="1" t="s">
        <v>204</v>
      </c>
      <c r="G120" s="2" t="s">
        <v>81</v>
      </c>
      <c r="H120" s="1" t="s">
        <v>225</v>
      </c>
      <c r="I120" s="2" t="str">
        <f t="shared" ref="I120:J120" si="121">LEFT(F120,2)</f>
        <v>25</v>
      </c>
      <c r="J120" s="2" t="str">
        <f t="shared" si="121"/>
        <v>18</v>
      </c>
      <c r="K120" s="1">
        <f t="shared" si="1"/>
        <v>7</v>
      </c>
      <c r="M120" t="s">
        <v>24</v>
      </c>
      <c r="N120" t="s">
        <v>19</v>
      </c>
      <c r="O120" t="s">
        <v>225</v>
      </c>
    </row>
    <row r="121" spans="1:15" ht="14.25" customHeight="1">
      <c r="A121" s="5" t="str">
        <f t="shared" si="67"/>
        <v>514864</v>
      </c>
      <c r="B121" s="2" t="s">
        <v>236</v>
      </c>
      <c r="C121" s="1">
        <v>2510</v>
      </c>
      <c r="D121" s="1" t="s">
        <v>237</v>
      </c>
      <c r="E121" s="1">
        <v>5</v>
      </c>
      <c r="F121" s="1" t="s">
        <v>204</v>
      </c>
      <c r="G121" s="2" t="s">
        <v>33</v>
      </c>
      <c r="H121" s="1" t="s">
        <v>225</v>
      </c>
      <c r="I121" s="2" t="str">
        <f t="shared" ref="I121:J121" si="122">LEFT(F121,2)</f>
        <v>25</v>
      </c>
      <c r="J121" s="2" t="str">
        <f t="shared" si="122"/>
        <v>16</v>
      </c>
      <c r="K121" s="1">
        <f t="shared" si="1"/>
        <v>9</v>
      </c>
      <c r="M121" t="s">
        <v>24</v>
      </c>
      <c r="N121" t="s">
        <v>19</v>
      </c>
      <c r="O121" t="s">
        <v>225</v>
      </c>
    </row>
    <row r="122" spans="1:15" ht="14.25" customHeight="1">
      <c r="A122" s="5" t="str">
        <f t="shared" si="67"/>
        <v>495694</v>
      </c>
      <c r="B122" s="2" t="s">
        <v>238</v>
      </c>
      <c r="C122" s="1">
        <v>2510</v>
      </c>
      <c r="D122" s="1" t="s">
        <v>239</v>
      </c>
      <c r="E122" s="1">
        <v>18</v>
      </c>
      <c r="F122" s="1" t="s">
        <v>212</v>
      </c>
      <c r="G122" s="2" t="s">
        <v>81</v>
      </c>
      <c r="H122" s="1" t="s">
        <v>225</v>
      </c>
      <c r="I122" s="2" t="str">
        <f t="shared" ref="I122:J122" si="123">LEFT(F122,2)</f>
        <v>27</v>
      </c>
      <c r="J122" s="2" t="str">
        <f t="shared" si="123"/>
        <v>18</v>
      </c>
      <c r="K122" s="1">
        <f t="shared" si="1"/>
        <v>9</v>
      </c>
      <c r="M122" t="s">
        <v>18</v>
      </c>
      <c r="N122" t="s">
        <v>19</v>
      </c>
      <c r="O122" t="s">
        <v>225</v>
      </c>
    </row>
    <row r="123" spans="1:15" ht="14.25" customHeight="1">
      <c r="A123" s="5" t="str">
        <f t="shared" si="67"/>
        <v>540842</v>
      </c>
      <c r="B123" s="2" t="s">
        <v>240</v>
      </c>
      <c r="C123" s="1">
        <v>2510</v>
      </c>
      <c r="D123" s="1" t="s">
        <v>241</v>
      </c>
      <c r="E123" s="1">
        <v>2</v>
      </c>
      <c r="F123" s="1" t="s">
        <v>219</v>
      </c>
      <c r="G123" s="2" t="s">
        <v>33</v>
      </c>
      <c r="H123" s="1" t="s">
        <v>225</v>
      </c>
      <c r="I123" s="2" t="str">
        <f t="shared" ref="I123:J123" si="124">LEFT(F123,2)</f>
        <v>28</v>
      </c>
      <c r="J123" s="2" t="str">
        <f t="shared" si="124"/>
        <v>16</v>
      </c>
      <c r="K123" s="1">
        <f t="shared" si="1"/>
        <v>12</v>
      </c>
      <c r="M123" t="s">
        <v>24</v>
      </c>
      <c r="N123" t="s">
        <v>19</v>
      </c>
      <c r="O123" t="s">
        <v>225</v>
      </c>
    </row>
    <row r="124" spans="1:15" ht="14.25" customHeight="1">
      <c r="A124" s="5" t="str">
        <f t="shared" si="67"/>
        <v>516200</v>
      </c>
      <c r="B124" s="2" t="s">
        <v>242</v>
      </c>
      <c r="C124" s="1">
        <v>2510</v>
      </c>
      <c r="D124" s="1" t="s">
        <v>243</v>
      </c>
      <c r="E124" s="1">
        <v>8</v>
      </c>
      <c r="F124" s="1" t="s">
        <v>137</v>
      </c>
      <c r="G124" s="2" t="s">
        <v>64</v>
      </c>
      <c r="H124" s="1" t="s">
        <v>244</v>
      </c>
      <c r="I124" s="2" t="str">
        <f t="shared" ref="I124:J124" si="125">LEFT(F124,2)</f>
        <v>23</v>
      </c>
      <c r="J124" s="2" t="str">
        <f t="shared" si="125"/>
        <v>17</v>
      </c>
      <c r="K124" s="1">
        <f t="shared" si="1"/>
        <v>6</v>
      </c>
      <c r="M124" t="s">
        <v>245</v>
      </c>
      <c r="N124" t="s">
        <v>50</v>
      </c>
      <c r="O124" t="s">
        <v>244</v>
      </c>
    </row>
    <row r="125" spans="1:15" ht="14.25" customHeight="1">
      <c r="A125" s="5" t="str">
        <f t="shared" si="67"/>
        <v>515571</v>
      </c>
      <c r="B125" s="2" t="s">
        <v>246</v>
      </c>
      <c r="C125" s="1">
        <v>2510</v>
      </c>
      <c r="D125" s="6" t="s">
        <v>247</v>
      </c>
      <c r="E125" s="1">
        <v>8</v>
      </c>
      <c r="F125" s="1" t="s">
        <v>113</v>
      </c>
      <c r="G125" s="2" t="s">
        <v>33</v>
      </c>
      <c r="H125" s="3" t="s">
        <v>248</v>
      </c>
      <c r="I125" s="2" t="str">
        <f t="shared" ref="I125:J125" si="126">LEFT(F125,2)</f>
        <v>21</v>
      </c>
      <c r="J125" s="2" t="str">
        <f t="shared" si="126"/>
        <v>16</v>
      </c>
      <c r="K125" s="1">
        <f t="shared" si="1"/>
        <v>5</v>
      </c>
      <c r="M125" t="s">
        <v>34</v>
      </c>
      <c r="N125" t="s">
        <v>50</v>
      </c>
      <c r="O125" t="s">
        <v>248</v>
      </c>
    </row>
    <row r="126" spans="1:15" ht="14.25" customHeight="1">
      <c r="A126" s="5" t="str">
        <f t="shared" si="67"/>
        <v>532536</v>
      </c>
      <c r="B126" s="2" t="s">
        <v>249</v>
      </c>
      <c r="C126" s="1">
        <v>2510</v>
      </c>
      <c r="D126" s="7" t="s">
        <v>250</v>
      </c>
      <c r="E126" s="1">
        <v>1</v>
      </c>
      <c r="F126" s="1" t="s">
        <v>150</v>
      </c>
      <c r="G126" s="2" t="s">
        <v>64</v>
      </c>
      <c r="H126" s="3" t="s">
        <v>248</v>
      </c>
      <c r="I126" s="2" t="str">
        <f t="shared" ref="I126:J126" si="127">LEFT(F126,2)</f>
        <v>24</v>
      </c>
      <c r="J126" s="2" t="str">
        <f t="shared" si="127"/>
        <v>17</v>
      </c>
      <c r="K126" s="1">
        <f t="shared" si="1"/>
        <v>7</v>
      </c>
      <c r="M126" t="s">
        <v>18</v>
      </c>
      <c r="N126" t="s">
        <v>19</v>
      </c>
      <c r="O126" t="s">
        <v>248</v>
      </c>
    </row>
    <row r="127" spans="1:15" ht="14.25" customHeight="1">
      <c r="A127" s="5" t="str">
        <f t="shared" si="67"/>
        <v>532536</v>
      </c>
      <c r="B127" s="2" t="s">
        <v>251</v>
      </c>
      <c r="C127" s="1">
        <v>2510</v>
      </c>
      <c r="D127" s="7" t="s">
        <v>250</v>
      </c>
      <c r="E127" s="1">
        <v>1</v>
      </c>
      <c r="F127" s="1" t="s">
        <v>252</v>
      </c>
      <c r="G127" s="2" t="s">
        <v>64</v>
      </c>
      <c r="H127" s="3" t="s">
        <v>248</v>
      </c>
      <c r="I127" s="2" t="str">
        <f t="shared" ref="I127:J127" si="128">LEFT(F127,2)</f>
        <v>36</v>
      </c>
      <c r="J127" s="2" t="str">
        <f t="shared" si="128"/>
        <v>17</v>
      </c>
      <c r="K127" s="1">
        <f t="shared" si="1"/>
        <v>19</v>
      </c>
      <c r="M127" t="s">
        <v>18</v>
      </c>
      <c r="N127" t="s">
        <v>19</v>
      </c>
      <c r="O127" t="s">
        <v>248</v>
      </c>
    </row>
    <row r="128" spans="1:15" ht="14.25" customHeight="1">
      <c r="A128" s="5" t="str">
        <f t="shared" si="67"/>
        <v>494681</v>
      </c>
      <c r="B128" s="2" t="s">
        <v>253</v>
      </c>
      <c r="C128" s="1">
        <v>2510</v>
      </c>
      <c r="D128" s="1" t="s">
        <v>254</v>
      </c>
      <c r="E128" s="1">
        <v>1</v>
      </c>
      <c r="F128" s="1" t="s">
        <v>204</v>
      </c>
      <c r="G128" s="2" t="s">
        <v>33</v>
      </c>
      <c r="H128" s="3" t="s">
        <v>255</v>
      </c>
      <c r="I128" s="2" t="str">
        <f t="shared" ref="I128:J128" si="129">LEFT(F128,2)</f>
        <v>25</v>
      </c>
      <c r="J128" s="2" t="str">
        <f t="shared" si="129"/>
        <v>16</v>
      </c>
      <c r="K128" s="1">
        <f t="shared" si="1"/>
        <v>9</v>
      </c>
      <c r="M128" t="s">
        <v>18</v>
      </c>
      <c r="N128" t="s">
        <v>19</v>
      </c>
      <c r="O128" t="s">
        <v>256</v>
      </c>
    </row>
    <row r="129" spans="1:15" ht="14.25" customHeight="1">
      <c r="A129" s="5" t="str">
        <f t="shared" si="67"/>
        <v>494712</v>
      </c>
      <c r="B129" s="2" t="s">
        <v>257</v>
      </c>
      <c r="C129" s="1">
        <v>2510</v>
      </c>
      <c r="D129" s="1" t="s">
        <v>258</v>
      </c>
      <c r="E129" s="1">
        <v>6</v>
      </c>
      <c r="F129" s="1" t="s">
        <v>113</v>
      </c>
      <c r="G129" s="2" t="s">
        <v>64</v>
      </c>
      <c r="H129" s="3" t="s">
        <v>255</v>
      </c>
      <c r="I129" s="2" t="str">
        <f t="shared" ref="I129:J129" si="130">LEFT(F129,2)</f>
        <v>21</v>
      </c>
      <c r="J129" s="2" t="str">
        <f t="shared" si="130"/>
        <v>17</v>
      </c>
      <c r="K129" s="1">
        <f t="shared" si="1"/>
        <v>4</v>
      </c>
      <c r="M129" t="s">
        <v>18</v>
      </c>
      <c r="N129" t="s">
        <v>19</v>
      </c>
      <c r="O129" t="s">
        <v>256</v>
      </c>
    </row>
    <row r="130" spans="1:15" ht="14.25" customHeight="1">
      <c r="A130" s="5" t="str">
        <f t="shared" si="67"/>
        <v>494712</v>
      </c>
      <c r="B130" s="2" t="s">
        <v>259</v>
      </c>
      <c r="C130" s="1">
        <v>2510</v>
      </c>
      <c r="D130" s="1" t="s">
        <v>258</v>
      </c>
      <c r="E130" s="1">
        <v>7</v>
      </c>
      <c r="F130" s="1" t="s">
        <v>113</v>
      </c>
      <c r="G130" s="2" t="s">
        <v>64</v>
      </c>
      <c r="H130" s="3" t="s">
        <v>255</v>
      </c>
      <c r="I130" s="2" t="str">
        <f t="shared" ref="I130:J130" si="131">LEFT(F130,2)</f>
        <v>21</v>
      </c>
      <c r="J130" s="2" t="str">
        <f t="shared" si="131"/>
        <v>17</v>
      </c>
      <c r="K130" s="1">
        <f t="shared" si="1"/>
        <v>4</v>
      </c>
      <c r="M130" t="s">
        <v>18</v>
      </c>
      <c r="N130" t="s">
        <v>19</v>
      </c>
      <c r="O130" t="s">
        <v>256</v>
      </c>
    </row>
    <row r="131" spans="1:15" ht="14.25" customHeight="1">
      <c r="A131" s="5" t="str">
        <f t="shared" ref="A131:A194" si="132">LEFT(B131,6)</f>
        <v>494712</v>
      </c>
      <c r="B131" s="2" t="s">
        <v>260</v>
      </c>
      <c r="C131" s="1">
        <v>2510</v>
      </c>
      <c r="D131" s="1" t="s">
        <v>258</v>
      </c>
      <c r="E131" s="1">
        <v>4</v>
      </c>
      <c r="F131" s="1" t="s">
        <v>204</v>
      </c>
      <c r="G131" s="2" t="s">
        <v>64</v>
      </c>
      <c r="H131" s="3" t="s">
        <v>255</v>
      </c>
      <c r="I131" s="2" t="str">
        <f t="shared" ref="I131:J131" si="133">LEFT(F131,2)</f>
        <v>25</v>
      </c>
      <c r="J131" s="2" t="str">
        <f t="shared" si="133"/>
        <v>17</v>
      </c>
      <c r="K131" s="1">
        <f t="shared" si="1"/>
        <v>8</v>
      </c>
      <c r="M131" t="s">
        <v>18</v>
      </c>
      <c r="N131" t="s">
        <v>19</v>
      </c>
      <c r="O131" t="s">
        <v>256</v>
      </c>
    </row>
    <row r="132" spans="1:15" ht="17.25" customHeight="1">
      <c r="A132" s="5" t="str">
        <f t="shared" si="132"/>
        <v>517296</v>
      </c>
      <c r="B132" s="2" t="s">
        <v>261</v>
      </c>
      <c r="C132" s="1">
        <v>2510</v>
      </c>
      <c r="D132" s="1" t="s">
        <v>262</v>
      </c>
      <c r="E132" s="1">
        <v>5</v>
      </c>
      <c r="F132" s="1" t="s">
        <v>113</v>
      </c>
      <c r="G132" s="2" t="s">
        <v>100</v>
      </c>
      <c r="H132" s="3" t="s">
        <v>255</v>
      </c>
      <c r="I132" s="2" t="str">
        <f t="shared" ref="I132:J132" si="134">LEFT(F132,2)</f>
        <v>21</v>
      </c>
      <c r="J132" s="2" t="str">
        <f t="shared" si="134"/>
        <v>19</v>
      </c>
      <c r="K132" s="1">
        <f t="shared" si="1"/>
        <v>2</v>
      </c>
      <c r="M132" t="s">
        <v>18</v>
      </c>
      <c r="N132" t="s">
        <v>19</v>
      </c>
      <c r="O132" t="s">
        <v>256</v>
      </c>
    </row>
    <row r="133" spans="1:15" ht="15" customHeight="1">
      <c r="A133" s="5" t="str">
        <f t="shared" si="132"/>
        <v>517296</v>
      </c>
      <c r="B133" s="2" t="s">
        <v>263</v>
      </c>
      <c r="C133" s="1">
        <v>2510</v>
      </c>
      <c r="D133" s="1" t="s">
        <v>262</v>
      </c>
      <c r="E133" s="1">
        <v>7</v>
      </c>
      <c r="F133" s="1" t="s">
        <v>113</v>
      </c>
      <c r="G133" s="2" t="s">
        <v>100</v>
      </c>
      <c r="H133" s="3" t="s">
        <v>255</v>
      </c>
      <c r="I133" s="2" t="str">
        <f t="shared" ref="I133:J133" si="135">LEFT(F133,2)</f>
        <v>21</v>
      </c>
      <c r="J133" s="2" t="str">
        <f t="shared" si="135"/>
        <v>19</v>
      </c>
      <c r="K133" s="1">
        <f t="shared" si="1"/>
        <v>2</v>
      </c>
      <c r="M133" t="s">
        <v>18</v>
      </c>
      <c r="N133" t="s">
        <v>19</v>
      </c>
      <c r="O133" t="s">
        <v>256</v>
      </c>
    </row>
    <row r="134" spans="1:15" ht="15" customHeight="1">
      <c r="A134" s="5" t="str">
        <f t="shared" si="132"/>
        <v>517296</v>
      </c>
      <c r="B134" s="2" t="s">
        <v>264</v>
      </c>
      <c r="C134" s="1">
        <v>2510</v>
      </c>
      <c r="D134" s="1" t="s">
        <v>262</v>
      </c>
      <c r="E134" s="1">
        <v>26</v>
      </c>
      <c r="F134" s="1" t="s">
        <v>113</v>
      </c>
      <c r="G134" s="2" t="s">
        <v>100</v>
      </c>
      <c r="H134" s="3" t="s">
        <v>255</v>
      </c>
      <c r="I134" s="2" t="str">
        <f t="shared" ref="I134:J134" si="136">LEFT(F134,2)</f>
        <v>21</v>
      </c>
      <c r="J134" s="2" t="str">
        <f t="shared" si="136"/>
        <v>19</v>
      </c>
      <c r="K134" s="1">
        <f t="shared" si="1"/>
        <v>2</v>
      </c>
      <c r="M134" t="s">
        <v>18</v>
      </c>
      <c r="N134" t="s">
        <v>19</v>
      </c>
      <c r="O134" t="s">
        <v>256</v>
      </c>
    </row>
    <row r="135" spans="1:15" ht="15" customHeight="1">
      <c r="A135" s="5" t="str">
        <f t="shared" si="132"/>
        <v>517296</v>
      </c>
      <c r="B135" s="2" t="s">
        <v>265</v>
      </c>
      <c r="C135" s="1">
        <v>2510</v>
      </c>
      <c r="D135" s="1" t="s">
        <v>262</v>
      </c>
      <c r="E135" s="1">
        <v>7</v>
      </c>
      <c r="F135" s="1" t="s">
        <v>142</v>
      </c>
      <c r="G135" s="2" t="s">
        <v>108</v>
      </c>
      <c r="H135" s="3" t="s">
        <v>255</v>
      </c>
      <c r="I135" s="2" t="str">
        <f t="shared" ref="I135:J135" si="137">LEFT(F135,2)</f>
        <v>22</v>
      </c>
      <c r="J135" s="2" t="str">
        <f t="shared" si="137"/>
        <v>20</v>
      </c>
      <c r="K135" s="1">
        <f t="shared" si="1"/>
        <v>2</v>
      </c>
      <c r="M135" t="s">
        <v>18</v>
      </c>
      <c r="N135" t="s">
        <v>19</v>
      </c>
      <c r="O135" t="s">
        <v>256</v>
      </c>
    </row>
    <row r="136" spans="1:15" ht="15" customHeight="1">
      <c r="A136" s="5" t="str">
        <f t="shared" si="132"/>
        <v>517296</v>
      </c>
      <c r="B136" s="2" t="s">
        <v>266</v>
      </c>
      <c r="C136" s="1">
        <v>2510</v>
      </c>
      <c r="D136" s="1" t="s">
        <v>262</v>
      </c>
      <c r="E136" s="1">
        <v>6</v>
      </c>
      <c r="F136" s="1" t="s">
        <v>142</v>
      </c>
      <c r="G136" s="2" t="s">
        <v>108</v>
      </c>
      <c r="H136" s="3" t="s">
        <v>255</v>
      </c>
      <c r="I136" s="2" t="str">
        <f t="shared" ref="I136:J136" si="138">LEFT(F136,2)</f>
        <v>22</v>
      </c>
      <c r="J136" s="2" t="str">
        <f t="shared" si="138"/>
        <v>20</v>
      </c>
      <c r="K136" s="1">
        <f t="shared" si="1"/>
        <v>2</v>
      </c>
      <c r="M136" t="s">
        <v>18</v>
      </c>
      <c r="N136" t="s">
        <v>19</v>
      </c>
      <c r="O136" t="s">
        <v>256</v>
      </c>
    </row>
    <row r="137" spans="1:15" ht="15" customHeight="1">
      <c r="A137" s="5" t="str">
        <f t="shared" si="132"/>
        <v>517296</v>
      </c>
      <c r="B137" s="2" t="s">
        <v>267</v>
      </c>
      <c r="C137" s="1">
        <v>2510</v>
      </c>
      <c r="D137" s="1" t="s">
        <v>262</v>
      </c>
      <c r="E137" s="1">
        <v>4</v>
      </c>
      <c r="F137" s="1" t="s">
        <v>137</v>
      </c>
      <c r="G137" s="2" t="s">
        <v>113</v>
      </c>
      <c r="H137" s="3" t="s">
        <v>255</v>
      </c>
      <c r="I137" s="2" t="str">
        <f t="shared" ref="I137:J137" si="139">LEFT(F137,2)</f>
        <v>23</v>
      </c>
      <c r="J137" s="2" t="str">
        <f t="shared" si="139"/>
        <v>21</v>
      </c>
      <c r="K137" s="1">
        <f t="shared" si="1"/>
        <v>2</v>
      </c>
      <c r="M137" t="s">
        <v>18</v>
      </c>
      <c r="N137" t="s">
        <v>19</v>
      </c>
      <c r="O137" t="s">
        <v>256</v>
      </c>
    </row>
    <row r="138" spans="1:15" ht="15" customHeight="1">
      <c r="A138" s="5" t="str">
        <f t="shared" si="132"/>
        <v>496869</v>
      </c>
      <c r="B138" s="2" t="s">
        <v>268</v>
      </c>
      <c r="C138" s="1">
        <v>2510</v>
      </c>
      <c r="D138" s="1" t="s">
        <v>269</v>
      </c>
      <c r="E138" s="1">
        <v>2</v>
      </c>
      <c r="F138" s="1" t="s">
        <v>150</v>
      </c>
      <c r="G138" s="2" t="s">
        <v>33</v>
      </c>
      <c r="H138" s="3" t="s">
        <v>255</v>
      </c>
      <c r="I138" s="2" t="str">
        <f t="shared" ref="I138:J138" si="140">LEFT(F138,2)</f>
        <v>24</v>
      </c>
      <c r="J138" s="2" t="str">
        <f t="shared" si="140"/>
        <v>16</v>
      </c>
      <c r="K138" s="1">
        <f t="shared" si="1"/>
        <v>8</v>
      </c>
      <c r="M138" t="s">
        <v>18</v>
      </c>
      <c r="N138" t="s">
        <v>19</v>
      </c>
      <c r="O138" t="s">
        <v>256</v>
      </c>
    </row>
    <row r="139" spans="1:15" ht="15" customHeight="1">
      <c r="A139" s="5" t="str">
        <f t="shared" si="132"/>
        <v>500199</v>
      </c>
      <c r="B139" s="2" t="s">
        <v>270</v>
      </c>
      <c r="C139" s="1">
        <v>2510</v>
      </c>
      <c r="D139" s="1" t="s">
        <v>271</v>
      </c>
      <c r="E139" s="1">
        <v>1</v>
      </c>
      <c r="F139" s="1" t="s">
        <v>150</v>
      </c>
      <c r="G139" s="2" t="s">
        <v>33</v>
      </c>
      <c r="H139" s="3" t="s">
        <v>255</v>
      </c>
      <c r="I139" s="2" t="str">
        <f t="shared" ref="I139:J139" si="141">LEFT(F139,2)</f>
        <v>24</v>
      </c>
      <c r="J139" s="2" t="str">
        <f t="shared" si="141"/>
        <v>16</v>
      </c>
      <c r="K139" s="1">
        <f t="shared" si="1"/>
        <v>8</v>
      </c>
      <c r="M139" t="s">
        <v>91</v>
      </c>
      <c r="N139" t="s">
        <v>19</v>
      </c>
      <c r="O139" t="s">
        <v>256</v>
      </c>
    </row>
    <row r="140" spans="1:15" ht="15" customHeight="1">
      <c r="A140" s="5" t="str">
        <f t="shared" si="132"/>
        <v>514817</v>
      </c>
      <c r="B140" s="2" t="s">
        <v>272</v>
      </c>
      <c r="C140" s="1">
        <v>2510</v>
      </c>
      <c r="D140" s="1" t="s">
        <v>273</v>
      </c>
      <c r="E140" s="1">
        <v>2</v>
      </c>
      <c r="F140" s="1" t="s">
        <v>108</v>
      </c>
      <c r="G140" s="2" t="s">
        <v>100</v>
      </c>
      <c r="H140" s="1" t="s">
        <v>274</v>
      </c>
      <c r="I140" s="2" t="str">
        <f t="shared" ref="I140:J140" si="142">LEFT(F140,2)</f>
        <v>20</v>
      </c>
      <c r="J140" s="2" t="str">
        <f t="shared" si="142"/>
        <v>19</v>
      </c>
      <c r="K140" s="1">
        <f t="shared" si="1"/>
        <v>1</v>
      </c>
      <c r="M140" t="s">
        <v>27</v>
      </c>
      <c r="N140" t="s">
        <v>50</v>
      </c>
      <c r="O140" t="s">
        <v>274</v>
      </c>
    </row>
    <row r="141" spans="1:15" ht="15" customHeight="1">
      <c r="A141" s="5" t="str">
        <f t="shared" si="132"/>
        <v>514817</v>
      </c>
      <c r="B141" s="2" t="s">
        <v>275</v>
      </c>
      <c r="C141" s="1">
        <v>2510</v>
      </c>
      <c r="D141" s="1" t="s">
        <v>273</v>
      </c>
      <c r="E141" s="1">
        <v>3</v>
      </c>
      <c r="F141" s="1" t="s">
        <v>108</v>
      </c>
      <c r="G141" s="2" t="s">
        <v>100</v>
      </c>
      <c r="H141" s="1" t="s">
        <v>274</v>
      </c>
      <c r="I141" s="2" t="str">
        <f t="shared" ref="I141:J141" si="143">LEFT(F141,2)</f>
        <v>20</v>
      </c>
      <c r="J141" s="2" t="str">
        <f t="shared" si="143"/>
        <v>19</v>
      </c>
      <c r="K141" s="1">
        <f t="shared" si="1"/>
        <v>1</v>
      </c>
      <c r="M141" t="s">
        <v>27</v>
      </c>
      <c r="N141" t="s">
        <v>50</v>
      </c>
      <c r="O141" t="s">
        <v>274</v>
      </c>
    </row>
    <row r="142" spans="1:15" ht="14.25" customHeight="1">
      <c r="A142" s="5" t="str">
        <f t="shared" si="132"/>
        <v>514817</v>
      </c>
      <c r="B142" s="2" t="s">
        <v>276</v>
      </c>
      <c r="C142" s="1">
        <v>2510</v>
      </c>
      <c r="D142" s="1" t="s">
        <v>273</v>
      </c>
      <c r="E142" s="1">
        <v>2</v>
      </c>
      <c r="F142" s="1" t="s">
        <v>204</v>
      </c>
      <c r="G142" s="2" t="s">
        <v>108</v>
      </c>
      <c r="H142" s="1" t="s">
        <v>274</v>
      </c>
      <c r="I142" s="2" t="str">
        <f t="shared" ref="I142:J142" si="144">LEFT(F142,2)</f>
        <v>25</v>
      </c>
      <c r="J142" s="2" t="str">
        <f t="shared" si="144"/>
        <v>20</v>
      </c>
      <c r="K142" s="1">
        <f t="shared" si="1"/>
        <v>5</v>
      </c>
      <c r="M142" t="s">
        <v>27</v>
      </c>
      <c r="N142" t="s">
        <v>50</v>
      </c>
      <c r="O142" t="s">
        <v>274</v>
      </c>
    </row>
    <row r="143" spans="1:15" ht="14.25" customHeight="1">
      <c r="A143" s="5" t="str">
        <f t="shared" si="132"/>
        <v>522851</v>
      </c>
      <c r="B143" s="2" t="s">
        <v>277</v>
      </c>
      <c r="C143" s="1">
        <v>2601</v>
      </c>
      <c r="D143" s="1" t="s">
        <v>278</v>
      </c>
      <c r="E143" s="1">
        <v>24</v>
      </c>
      <c r="F143" s="1" t="s">
        <v>204</v>
      </c>
      <c r="G143" s="2" t="s">
        <v>100</v>
      </c>
      <c r="H143" s="1" t="s">
        <v>244</v>
      </c>
      <c r="I143" s="2" t="str">
        <f t="shared" ref="I143:J143" si="145">LEFT(F143,2)</f>
        <v>25</v>
      </c>
      <c r="J143" s="2" t="str">
        <f t="shared" si="145"/>
        <v>19</v>
      </c>
      <c r="K143" s="1">
        <f t="shared" si="1"/>
        <v>6</v>
      </c>
      <c r="M143" t="s">
        <v>245</v>
      </c>
      <c r="N143" t="s">
        <v>50</v>
      </c>
      <c r="O143" t="s">
        <v>244</v>
      </c>
    </row>
    <row r="144" spans="1:15" ht="14.25" customHeight="1">
      <c r="A144" s="5" t="str">
        <f t="shared" si="132"/>
        <v>522170</v>
      </c>
      <c r="B144" s="2" t="s">
        <v>279</v>
      </c>
      <c r="C144" s="1">
        <v>2601</v>
      </c>
      <c r="D144" s="1" t="s">
        <v>280</v>
      </c>
      <c r="E144" s="1">
        <v>4</v>
      </c>
      <c r="F144" s="1" t="s">
        <v>212</v>
      </c>
      <c r="G144" s="2" t="s">
        <v>81</v>
      </c>
      <c r="H144" s="1" t="s">
        <v>244</v>
      </c>
      <c r="I144" s="2" t="str">
        <f t="shared" ref="I144:J144" si="146">LEFT(F144,2)</f>
        <v>27</v>
      </c>
      <c r="J144" s="2" t="str">
        <f t="shared" si="146"/>
        <v>18</v>
      </c>
      <c r="K144" s="1">
        <f t="shared" si="1"/>
        <v>9</v>
      </c>
      <c r="M144" t="s">
        <v>245</v>
      </c>
      <c r="N144" t="s">
        <v>50</v>
      </c>
      <c r="O144" t="s">
        <v>244</v>
      </c>
    </row>
    <row r="145" spans="1:15" ht="14.25" customHeight="1">
      <c r="A145" s="5" t="str">
        <f t="shared" si="132"/>
        <v>522170</v>
      </c>
      <c r="B145" s="2" t="s">
        <v>281</v>
      </c>
      <c r="C145" s="1">
        <v>2601</v>
      </c>
      <c r="D145" s="1" t="s">
        <v>280</v>
      </c>
      <c r="E145" s="1">
        <v>5</v>
      </c>
      <c r="F145" s="1" t="s">
        <v>193</v>
      </c>
      <c r="G145" s="2" t="s">
        <v>81</v>
      </c>
      <c r="H145" s="1" t="s">
        <v>244</v>
      </c>
      <c r="I145" s="2" t="str">
        <f t="shared" ref="I145:J145" si="147">LEFT(F145,2)</f>
        <v>26</v>
      </c>
      <c r="J145" s="2" t="str">
        <f t="shared" si="147"/>
        <v>18</v>
      </c>
      <c r="K145" s="1">
        <f t="shared" si="1"/>
        <v>8</v>
      </c>
      <c r="M145" t="s">
        <v>245</v>
      </c>
      <c r="N145" t="s">
        <v>50</v>
      </c>
      <c r="O145" t="s">
        <v>244</v>
      </c>
    </row>
    <row r="146" spans="1:15" ht="14.25" customHeight="1">
      <c r="A146" s="5" t="str">
        <f t="shared" si="132"/>
        <v>515210</v>
      </c>
      <c r="B146" s="2" t="s">
        <v>282</v>
      </c>
      <c r="C146" s="1">
        <v>2510</v>
      </c>
      <c r="D146" s="1" t="s">
        <v>283</v>
      </c>
      <c r="E146" s="1">
        <v>2</v>
      </c>
      <c r="F146" s="1" t="s">
        <v>108</v>
      </c>
      <c r="G146" s="2" t="s">
        <v>33</v>
      </c>
      <c r="H146" s="1" t="s">
        <v>284</v>
      </c>
      <c r="I146" s="2" t="str">
        <f t="shared" ref="I146:J146" si="148">LEFT(F146,2)</f>
        <v>20</v>
      </c>
      <c r="J146" s="2" t="str">
        <f t="shared" si="148"/>
        <v>16</v>
      </c>
      <c r="K146" s="1">
        <f t="shared" si="1"/>
        <v>4</v>
      </c>
      <c r="M146" t="s">
        <v>245</v>
      </c>
      <c r="N146" t="s">
        <v>50</v>
      </c>
      <c r="O146" t="s">
        <v>285</v>
      </c>
    </row>
    <row r="147" spans="1:15" ht="14.25" customHeight="1">
      <c r="A147" s="5" t="str">
        <f t="shared" si="132"/>
        <v>515210</v>
      </c>
      <c r="B147" s="2" t="s">
        <v>286</v>
      </c>
      <c r="C147" s="1">
        <v>2510</v>
      </c>
      <c r="D147" s="1" t="s">
        <v>283</v>
      </c>
      <c r="E147" s="1">
        <v>2</v>
      </c>
      <c r="F147" s="1" t="s">
        <v>108</v>
      </c>
      <c r="G147" s="2" t="s">
        <v>33</v>
      </c>
      <c r="H147" s="1" t="s">
        <v>284</v>
      </c>
      <c r="I147" s="2" t="str">
        <f t="shared" ref="I147:J147" si="149">LEFT(F147,2)</f>
        <v>20</v>
      </c>
      <c r="J147" s="2" t="str">
        <f t="shared" si="149"/>
        <v>16</v>
      </c>
      <c r="K147" s="1">
        <f t="shared" si="1"/>
        <v>4</v>
      </c>
      <c r="M147" t="s">
        <v>245</v>
      </c>
      <c r="N147" t="s">
        <v>50</v>
      </c>
      <c r="O147" t="s">
        <v>285</v>
      </c>
    </row>
    <row r="148" spans="1:15" ht="14.25" customHeight="1">
      <c r="A148" s="5" t="str">
        <f t="shared" si="132"/>
        <v>515257</v>
      </c>
      <c r="B148" s="2" t="s">
        <v>287</v>
      </c>
      <c r="C148" s="1">
        <v>2510</v>
      </c>
      <c r="D148" s="1" t="s">
        <v>288</v>
      </c>
      <c r="E148" s="1">
        <v>2</v>
      </c>
      <c r="F148" s="1" t="s">
        <v>108</v>
      </c>
      <c r="G148" s="4" t="s">
        <v>33</v>
      </c>
      <c r="H148" s="3" t="s">
        <v>284</v>
      </c>
      <c r="I148" s="2" t="str">
        <f t="shared" ref="I148:J148" si="150">LEFT(F148,2)</f>
        <v>20</v>
      </c>
      <c r="J148" s="2" t="str">
        <f t="shared" si="150"/>
        <v>16</v>
      </c>
      <c r="K148" s="1">
        <f t="shared" si="1"/>
        <v>4</v>
      </c>
      <c r="M148" t="s">
        <v>245</v>
      </c>
      <c r="N148" t="s">
        <v>50</v>
      </c>
      <c r="O148" t="s">
        <v>285</v>
      </c>
    </row>
    <row r="149" spans="1:15" ht="14.25" customHeight="1">
      <c r="A149" s="5" t="str">
        <f t="shared" si="132"/>
        <v>515383</v>
      </c>
      <c r="B149" s="2" t="s">
        <v>289</v>
      </c>
      <c r="C149" s="1">
        <v>2510</v>
      </c>
      <c r="D149" s="1" t="s">
        <v>290</v>
      </c>
      <c r="E149" s="1">
        <v>2</v>
      </c>
      <c r="F149" s="1" t="s">
        <v>108</v>
      </c>
      <c r="G149" s="4" t="s">
        <v>33</v>
      </c>
      <c r="H149" s="3" t="s">
        <v>284</v>
      </c>
      <c r="I149" s="2" t="str">
        <f t="shared" ref="I149:J149" si="151">LEFT(F149,2)</f>
        <v>20</v>
      </c>
      <c r="J149" s="2" t="str">
        <f t="shared" si="151"/>
        <v>16</v>
      </c>
      <c r="K149" s="1">
        <f t="shared" si="1"/>
        <v>4</v>
      </c>
      <c r="M149" t="s">
        <v>245</v>
      </c>
      <c r="N149" t="s">
        <v>50</v>
      </c>
      <c r="O149" t="s">
        <v>285</v>
      </c>
    </row>
    <row r="150" spans="1:15" ht="14.25" customHeight="1">
      <c r="A150" s="5" t="str">
        <f t="shared" si="132"/>
        <v>515383</v>
      </c>
      <c r="B150" s="2" t="s">
        <v>291</v>
      </c>
      <c r="C150" s="1">
        <v>2510</v>
      </c>
      <c r="D150" s="1" t="s">
        <v>290</v>
      </c>
      <c r="E150" s="1">
        <v>8</v>
      </c>
      <c r="F150" s="1" t="s">
        <v>108</v>
      </c>
      <c r="G150" s="4" t="s">
        <v>33</v>
      </c>
      <c r="H150" s="3" t="s">
        <v>284</v>
      </c>
      <c r="I150" s="2" t="str">
        <f t="shared" ref="I150:J150" si="152">LEFT(F150,2)</f>
        <v>20</v>
      </c>
      <c r="J150" s="2" t="str">
        <f t="shared" si="152"/>
        <v>16</v>
      </c>
      <c r="K150" s="1">
        <f t="shared" si="1"/>
        <v>4</v>
      </c>
      <c r="M150" t="s">
        <v>245</v>
      </c>
      <c r="N150" t="s">
        <v>50</v>
      </c>
      <c r="O150" t="s">
        <v>285</v>
      </c>
    </row>
    <row r="151" spans="1:15" ht="14.25" customHeight="1">
      <c r="A151" s="5" t="str">
        <f t="shared" si="132"/>
        <v>515383</v>
      </c>
      <c r="B151" s="2" t="s">
        <v>292</v>
      </c>
      <c r="C151" s="1">
        <v>2510</v>
      </c>
      <c r="D151" s="1" t="s">
        <v>290</v>
      </c>
      <c r="E151" s="1">
        <v>2</v>
      </c>
      <c r="F151" s="1" t="s">
        <v>108</v>
      </c>
      <c r="G151" s="4" t="s">
        <v>33</v>
      </c>
      <c r="H151" s="3" t="s">
        <v>284</v>
      </c>
      <c r="I151" s="2" t="str">
        <f t="shared" ref="I151:J151" si="153">LEFT(F151,2)</f>
        <v>20</v>
      </c>
      <c r="J151" s="2" t="str">
        <f t="shared" si="153"/>
        <v>16</v>
      </c>
      <c r="K151" s="1">
        <f t="shared" si="1"/>
        <v>4</v>
      </c>
      <c r="M151" t="s">
        <v>245</v>
      </c>
      <c r="N151" t="s">
        <v>50</v>
      </c>
      <c r="O151" t="s">
        <v>285</v>
      </c>
    </row>
    <row r="152" spans="1:15" ht="14.25" customHeight="1">
      <c r="A152" s="5" t="str">
        <f t="shared" si="132"/>
        <v>515385</v>
      </c>
      <c r="B152" s="2" t="s">
        <v>293</v>
      </c>
      <c r="C152" s="1">
        <v>2510</v>
      </c>
      <c r="D152" s="1" t="s">
        <v>294</v>
      </c>
      <c r="E152" s="1">
        <v>1</v>
      </c>
      <c r="F152" s="1" t="s">
        <v>108</v>
      </c>
      <c r="G152" s="4" t="s">
        <v>81</v>
      </c>
      <c r="H152" s="3" t="s">
        <v>284</v>
      </c>
      <c r="I152" s="2" t="str">
        <f t="shared" ref="I152:J152" si="154">LEFT(F152,2)</f>
        <v>20</v>
      </c>
      <c r="J152" s="2" t="str">
        <f t="shared" si="154"/>
        <v>18</v>
      </c>
      <c r="K152" s="1">
        <f t="shared" si="1"/>
        <v>2</v>
      </c>
      <c r="M152" t="s">
        <v>245</v>
      </c>
      <c r="N152" t="s">
        <v>50</v>
      </c>
      <c r="O152" t="s">
        <v>285</v>
      </c>
    </row>
    <row r="153" spans="1:15" ht="14.25" customHeight="1">
      <c r="A153" s="5" t="str">
        <f t="shared" si="132"/>
        <v>515385</v>
      </c>
      <c r="B153" s="2" t="s">
        <v>295</v>
      </c>
      <c r="C153" s="1">
        <v>2510</v>
      </c>
      <c r="D153" s="1" t="s">
        <v>294</v>
      </c>
      <c r="E153" s="1">
        <v>3</v>
      </c>
      <c r="F153" s="1" t="s">
        <v>108</v>
      </c>
      <c r="G153" s="4" t="s">
        <v>81</v>
      </c>
      <c r="H153" s="3" t="s">
        <v>284</v>
      </c>
      <c r="I153" s="2" t="str">
        <f t="shared" ref="I153:J153" si="155">LEFT(F153,2)</f>
        <v>20</v>
      </c>
      <c r="J153" s="2" t="str">
        <f t="shared" si="155"/>
        <v>18</v>
      </c>
      <c r="K153" s="1">
        <f t="shared" si="1"/>
        <v>2</v>
      </c>
      <c r="M153" t="s">
        <v>245</v>
      </c>
      <c r="N153" t="s">
        <v>50</v>
      </c>
      <c r="O153" t="s">
        <v>285</v>
      </c>
    </row>
    <row r="154" spans="1:15" ht="14.25" customHeight="1">
      <c r="A154" s="5" t="str">
        <f t="shared" si="132"/>
        <v>515385</v>
      </c>
      <c r="B154" s="2" t="s">
        <v>296</v>
      </c>
      <c r="C154" s="1">
        <v>2510</v>
      </c>
      <c r="D154" s="1" t="s">
        <v>294</v>
      </c>
      <c r="E154" s="1">
        <v>1</v>
      </c>
      <c r="F154" s="1" t="s">
        <v>108</v>
      </c>
      <c r="G154" s="4" t="s">
        <v>81</v>
      </c>
      <c r="H154" s="3" t="s">
        <v>284</v>
      </c>
      <c r="I154" s="2" t="str">
        <f t="shared" ref="I154:J154" si="156">LEFT(F154,2)</f>
        <v>20</v>
      </c>
      <c r="J154" s="2" t="str">
        <f t="shared" si="156"/>
        <v>18</v>
      </c>
      <c r="K154" s="1">
        <f t="shared" si="1"/>
        <v>2</v>
      </c>
      <c r="M154" t="s">
        <v>245</v>
      </c>
      <c r="N154" t="s">
        <v>50</v>
      </c>
      <c r="O154" t="s">
        <v>285</v>
      </c>
    </row>
    <row r="155" spans="1:15" ht="14.25" customHeight="1">
      <c r="A155" s="5" t="str">
        <f t="shared" si="132"/>
        <v>515383</v>
      </c>
      <c r="B155" s="2" t="s">
        <v>297</v>
      </c>
      <c r="C155" s="1">
        <v>2510</v>
      </c>
      <c r="D155" s="1" t="s">
        <v>290</v>
      </c>
      <c r="E155" s="1">
        <v>2</v>
      </c>
      <c r="F155" s="1" t="s">
        <v>113</v>
      </c>
      <c r="G155" s="4" t="s">
        <v>64</v>
      </c>
      <c r="H155" s="3" t="s">
        <v>284</v>
      </c>
      <c r="I155" s="2" t="str">
        <f t="shared" ref="I155:J155" si="157">LEFT(F155,2)</f>
        <v>21</v>
      </c>
      <c r="J155" s="2" t="str">
        <f t="shared" si="157"/>
        <v>17</v>
      </c>
      <c r="K155" s="1">
        <f t="shared" si="1"/>
        <v>4</v>
      </c>
      <c r="M155" t="s">
        <v>245</v>
      </c>
      <c r="N155" t="s">
        <v>50</v>
      </c>
      <c r="O155" t="s">
        <v>285</v>
      </c>
    </row>
    <row r="156" spans="1:15" ht="14.25" customHeight="1">
      <c r="A156" s="5" t="str">
        <f t="shared" si="132"/>
        <v>515383</v>
      </c>
      <c r="B156" s="2" t="s">
        <v>298</v>
      </c>
      <c r="C156" s="1">
        <v>2510</v>
      </c>
      <c r="D156" s="1" t="s">
        <v>290</v>
      </c>
      <c r="E156" s="1">
        <v>2</v>
      </c>
      <c r="F156" s="1" t="s">
        <v>113</v>
      </c>
      <c r="G156" s="4" t="s">
        <v>64</v>
      </c>
      <c r="H156" s="3" t="s">
        <v>284</v>
      </c>
      <c r="I156" s="2" t="str">
        <f t="shared" ref="I156:J156" si="158">LEFT(F156,2)</f>
        <v>21</v>
      </c>
      <c r="J156" s="2" t="str">
        <f t="shared" si="158"/>
        <v>17</v>
      </c>
      <c r="K156" s="1">
        <f t="shared" si="1"/>
        <v>4</v>
      </c>
      <c r="M156" t="s">
        <v>245</v>
      </c>
      <c r="N156" t="s">
        <v>50</v>
      </c>
      <c r="O156" t="s">
        <v>285</v>
      </c>
    </row>
    <row r="157" spans="1:15" ht="14.25" customHeight="1">
      <c r="A157" s="5" t="str">
        <f t="shared" si="132"/>
        <v>515383</v>
      </c>
      <c r="B157" s="2" t="s">
        <v>299</v>
      </c>
      <c r="C157" s="1">
        <v>2510</v>
      </c>
      <c r="D157" s="1" t="s">
        <v>290</v>
      </c>
      <c r="E157" s="1">
        <v>3</v>
      </c>
      <c r="F157" s="1" t="s">
        <v>113</v>
      </c>
      <c r="G157" s="4" t="s">
        <v>64</v>
      </c>
      <c r="H157" s="3" t="s">
        <v>284</v>
      </c>
      <c r="I157" s="2" t="str">
        <f t="shared" ref="I157:J157" si="159">LEFT(F157,2)</f>
        <v>21</v>
      </c>
      <c r="J157" s="2" t="str">
        <f t="shared" si="159"/>
        <v>17</v>
      </c>
      <c r="K157" s="1">
        <f t="shared" si="1"/>
        <v>4</v>
      </c>
      <c r="M157" t="s">
        <v>245</v>
      </c>
      <c r="N157" t="s">
        <v>50</v>
      </c>
      <c r="O157" t="s">
        <v>285</v>
      </c>
    </row>
    <row r="158" spans="1:15" ht="14.25" customHeight="1">
      <c r="A158" s="5" t="str">
        <f t="shared" si="132"/>
        <v>515383</v>
      </c>
      <c r="B158" s="2" t="s">
        <v>300</v>
      </c>
      <c r="C158" s="1">
        <v>2510</v>
      </c>
      <c r="D158" s="1" t="s">
        <v>290</v>
      </c>
      <c r="E158" s="1">
        <v>1</v>
      </c>
      <c r="F158" s="1" t="s">
        <v>142</v>
      </c>
      <c r="G158" s="4" t="s">
        <v>81</v>
      </c>
      <c r="H158" s="3" t="s">
        <v>284</v>
      </c>
      <c r="I158" s="2" t="str">
        <f t="shared" ref="I158:J158" si="160">LEFT(F158,2)</f>
        <v>22</v>
      </c>
      <c r="J158" s="2" t="str">
        <f t="shared" si="160"/>
        <v>18</v>
      </c>
      <c r="K158" s="1">
        <f t="shared" si="1"/>
        <v>4</v>
      </c>
      <c r="M158" t="s">
        <v>245</v>
      </c>
      <c r="N158" t="s">
        <v>50</v>
      </c>
      <c r="O158" t="s">
        <v>285</v>
      </c>
    </row>
    <row r="159" spans="1:15" ht="14.25" customHeight="1">
      <c r="A159" s="5" t="str">
        <f t="shared" si="132"/>
        <v>515383</v>
      </c>
      <c r="B159" s="2" t="s">
        <v>301</v>
      </c>
      <c r="C159" s="1">
        <v>2510</v>
      </c>
      <c r="D159" s="1" t="s">
        <v>290</v>
      </c>
      <c r="E159" s="1">
        <v>6</v>
      </c>
      <c r="F159" s="1" t="s">
        <v>142</v>
      </c>
      <c r="G159" s="4" t="s">
        <v>81</v>
      </c>
      <c r="H159" s="3" t="s">
        <v>284</v>
      </c>
      <c r="I159" s="2" t="str">
        <f t="shared" ref="I159:J159" si="161">LEFT(F159,2)</f>
        <v>22</v>
      </c>
      <c r="J159" s="2" t="str">
        <f t="shared" si="161"/>
        <v>18</v>
      </c>
      <c r="K159" s="1">
        <f t="shared" si="1"/>
        <v>4</v>
      </c>
      <c r="M159" t="s">
        <v>245</v>
      </c>
      <c r="N159" t="s">
        <v>50</v>
      </c>
      <c r="O159" t="s">
        <v>285</v>
      </c>
    </row>
    <row r="160" spans="1:15" ht="14.25" customHeight="1">
      <c r="A160" s="5" t="str">
        <f t="shared" si="132"/>
        <v>514001</v>
      </c>
      <c r="B160" s="2" t="s">
        <v>302</v>
      </c>
      <c r="C160" s="1">
        <v>2510</v>
      </c>
      <c r="D160" s="1" t="s">
        <v>303</v>
      </c>
      <c r="E160" s="1">
        <v>2</v>
      </c>
      <c r="F160" s="1" t="s">
        <v>142</v>
      </c>
      <c r="G160" s="4" t="s">
        <v>108</v>
      </c>
      <c r="H160" s="3" t="s">
        <v>284</v>
      </c>
      <c r="I160" s="2" t="str">
        <f t="shared" ref="I160:J160" si="162">LEFT(F160,2)</f>
        <v>22</v>
      </c>
      <c r="J160" s="2" t="str">
        <f t="shared" si="162"/>
        <v>20</v>
      </c>
      <c r="K160" s="1">
        <f t="shared" si="1"/>
        <v>2</v>
      </c>
      <c r="M160" t="s">
        <v>245</v>
      </c>
      <c r="N160" t="s">
        <v>50</v>
      </c>
      <c r="O160" t="s">
        <v>285</v>
      </c>
    </row>
    <row r="161" spans="1:15" ht="14.25" customHeight="1">
      <c r="A161" s="5" t="str">
        <f t="shared" si="132"/>
        <v>514001</v>
      </c>
      <c r="B161" s="2" t="s">
        <v>304</v>
      </c>
      <c r="C161" s="1">
        <v>2510</v>
      </c>
      <c r="D161" s="1" t="s">
        <v>303</v>
      </c>
      <c r="E161" s="1">
        <v>1</v>
      </c>
      <c r="F161" s="1" t="s">
        <v>142</v>
      </c>
      <c r="G161" s="4" t="s">
        <v>108</v>
      </c>
      <c r="H161" s="3" t="s">
        <v>284</v>
      </c>
      <c r="I161" s="2" t="str">
        <f t="shared" ref="I161:J161" si="163">LEFT(F161,2)</f>
        <v>22</v>
      </c>
      <c r="J161" s="2" t="str">
        <f t="shared" si="163"/>
        <v>20</v>
      </c>
      <c r="K161" s="1">
        <f t="shared" si="1"/>
        <v>2</v>
      </c>
      <c r="M161" t="s">
        <v>245</v>
      </c>
      <c r="N161" t="s">
        <v>50</v>
      </c>
      <c r="O161" t="s">
        <v>285</v>
      </c>
    </row>
    <row r="162" spans="1:15" ht="14.25" customHeight="1">
      <c r="A162" s="5" t="str">
        <f t="shared" si="132"/>
        <v>514001</v>
      </c>
      <c r="B162" s="2" t="s">
        <v>305</v>
      </c>
      <c r="C162" s="1">
        <v>2510</v>
      </c>
      <c r="D162" s="1" t="s">
        <v>303</v>
      </c>
      <c r="E162" s="1">
        <v>1</v>
      </c>
      <c r="F162" s="1" t="s">
        <v>142</v>
      </c>
      <c r="G162" s="4" t="s">
        <v>108</v>
      </c>
      <c r="H162" s="3" t="s">
        <v>284</v>
      </c>
      <c r="I162" s="2" t="str">
        <f t="shared" ref="I162:J162" si="164">LEFT(F162,2)</f>
        <v>22</v>
      </c>
      <c r="J162" s="2" t="str">
        <f t="shared" si="164"/>
        <v>20</v>
      </c>
      <c r="K162" s="1">
        <f t="shared" si="1"/>
        <v>2</v>
      </c>
      <c r="M162" t="s">
        <v>245</v>
      </c>
      <c r="N162" t="s">
        <v>50</v>
      </c>
      <c r="O162" t="s">
        <v>285</v>
      </c>
    </row>
    <row r="163" spans="1:15" ht="14.25" customHeight="1">
      <c r="A163" s="5" t="str">
        <f t="shared" si="132"/>
        <v>514001</v>
      </c>
      <c r="B163" s="2" t="s">
        <v>306</v>
      </c>
      <c r="C163" s="1">
        <v>2510</v>
      </c>
      <c r="D163" s="1" t="s">
        <v>303</v>
      </c>
      <c r="E163" s="1">
        <v>1</v>
      </c>
      <c r="F163" s="1" t="s">
        <v>137</v>
      </c>
      <c r="G163" s="4" t="s">
        <v>108</v>
      </c>
      <c r="H163" s="3" t="s">
        <v>284</v>
      </c>
      <c r="I163" s="2" t="str">
        <f t="shared" ref="I163:J163" si="165">LEFT(F163,2)</f>
        <v>23</v>
      </c>
      <c r="J163" s="2" t="str">
        <f t="shared" si="165"/>
        <v>20</v>
      </c>
      <c r="K163" s="1">
        <f t="shared" si="1"/>
        <v>3</v>
      </c>
      <c r="M163" t="s">
        <v>245</v>
      </c>
      <c r="N163" t="s">
        <v>50</v>
      </c>
      <c r="O163" t="s">
        <v>285</v>
      </c>
    </row>
    <row r="164" spans="1:15" ht="14.25" customHeight="1">
      <c r="A164" s="5" t="str">
        <f t="shared" si="132"/>
        <v>514001</v>
      </c>
      <c r="B164" s="2" t="s">
        <v>307</v>
      </c>
      <c r="C164" s="1">
        <v>2510</v>
      </c>
      <c r="D164" s="1" t="s">
        <v>303</v>
      </c>
      <c r="E164" s="1">
        <v>1</v>
      </c>
      <c r="F164" s="1" t="s">
        <v>137</v>
      </c>
      <c r="G164" s="4" t="s">
        <v>108</v>
      </c>
      <c r="H164" s="3" t="s">
        <v>284</v>
      </c>
      <c r="I164" s="2" t="str">
        <f t="shared" ref="I164:J164" si="166">LEFT(F164,2)</f>
        <v>23</v>
      </c>
      <c r="J164" s="2" t="str">
        <f t="shared" si="166"/>
        <v>20</v>
      </c>
      <c r="K164" s="1">
        <f t="shared" si="1"/>
        <v>3</v>
      </c>
      <c r="M164" t="s">
        <v>245</v>
      </c>
      <c r="N164" t="s">
        <v>50</v>
      </c>
      <c r="O164" t="s">
        <v>285</v>
      </c>
    </row>
    <row r="165" spans="1:15" ht="14.25" customHeight="1">
      <c r="A165" s="5" t="str">
        <f t="shared" si="132"/>
        <v>514260</v>
      </c>
      <c r="B165" s="2" t="s">
        <v>308</v>
      </c>
      <c r="C165" s="1">
        <v>2510</v>
      </c>
      <c r="D165" s="1" t="s">
        <v>309</v>
      </c>
      <c r="E165" s="1">
        <v>1</v>
      </c>
      <c r="F165" s="1" t="s">
        <v>137</v>
      </c>
      <c r="G165" s="4" t="s">
        <v>113</v>
      </c>
      <c r="H165" s="3" t="s">
        <v>284</v>
      </c>
      <c r="I165" s="2" t="str">
        <f t="shared" ref="I165:J165" si="167">LEFT(F165,2)</f>
        <v>23</v>
      </c>
      <c r="J165" s="2" t="str">
        <f t="shared" si="167"/>
        <v>21</v>
      </c>
      <c r="K165" s="1">
        <f t="shared" si="1"/>
        <v>2</v>
      </c>
      <c r="M165" t="s">
        <v>34</v>
      </c>
      <c r="N165" t="s">
        <v>50</v>
      </c>
      <c r="O165" t="s">
        <v>285</v>
      </c>
    </row>
    <row r="166" spans="1:15" ht="14.25" customHeight="1">
      <c r="A166" s="5" t="str">
        <f t="shared" si="132"/>
        <v>546435</v>
      </c>
      <c r="B166" s="2" t="s">
        <v>310</v>
      </c>
      <c r="C166" s="1">
        <v>2510</v>
      </c>
      <c r="D166" s="1" t="s">
        <v>311</v>
      </c>
      <c r="E166" s="1">
        <v>2</v>
      </c>
      <c r="F166" s="1" t="s">
        <v>137</v>
      </c>
      <c r="G166" s="4" t="s">
        <v>113</v>
      </c>
      <c r="H166" s="3" t="s">
        <v>284</v>
      </c>
      <c r="I166" s="2" t="str">
        <f t="shared" ref="I166:J166" si="168">LEFT(F166,2)</f>
        <v>23</v>
      </c>
      <c r="J166" s="2" t="str">
        <f t="shared" si="168"/>
        <v>21</v>
      </c>
      <c r="K166" s="1">
        <f t="shared" si="1"/>
        <v>2</v>
      </c>
      <c r="M166" t="s">
        <v>245</v>
      </c>
      <c r="N166" t="s">
        <v>50</v>
      </c>
      <c r="O166" t="s">
        <v>285</v>
      </c>
    </row>
    <row r="167" spans="1:15" ht="14.25" customHeight="1">
      <c r="A167" s="5" t="str">
        <f t="shared" si="132"/>
        <v>514001</v>
      </c>
      <c r="B167" s="2" t="s">
        <v>312</v>
      </c>
      <c r="C167" s="1">
        <v>2510</v>
      </c>
      <c r="D167" s="1" t="s">
        <v>303</v>
      </c>
      <c r="E167" s="1">
        <v>1</v>
      </c>
      <c r="F167" s="1" t="s">
        <v>150</v>
      </c>
      <c r="G167" s="4" t="s">
        <v>108</v>
      </c>
      <c r="H167" s="3" t="s">
        <v>284</v>
      </c>
      <c r="I167" s="2" t="str">
        <f t="shared" ref="I167:J167" si="169">LEFT(F167,2)</f>
        <v>24</v>
      </c>
      <c r="J167" s="2" t="str">
        <f t="shared" si="169"/>
        <v>20</v>
      </c>
      <c r="K167" s="1">
        <f t="shared" si="1"/>
        <v>4</v>
      </c>
      <c r="M167" t="s">
        <v>245</v>
      </c>
      <c r="N167" t="s">
        <v>50</v>
      </c>
      <c r="O167" t="s">
        <v>285</v>
      </c>
    </row>
    <row r="168" spans="1:15" ht="14.25" customHeight="1">
      <c r="A168" s="5" t="str">
        <f t="shared" si="132"/>
        <v>514001</v>
      </c>
      <c r="B168" s="2" t="s">
        <v>313</v>
      </c>
      <c r="C168" s="1">
        <v>2510</v>
      </c>
      <c r="D168" s="1" t="s">
        <v>303</v>
      </c>
      <c r="E168" s="1">
        <v>1</v>
      </c>
      <c r="F168" s="1" t="s">
        <v>150</v>
      </c>
      <c r="G168" s="4" t="s">
        <v>108</v>
      </c>
      <c r="H168" s="3" t="s">
        <v>284</v>
      </c>
      <c r="I168" s="2" t="str">
        <f t="shared" ref="I168:J168" si="170">LEFT(F168,2)</f>
        <v>24</v>
      </c>
      <c r="J168" s="2" t="str">
        <f t="shared" si="170"/>
        <v>20</v>
      </c>
      <c r="K168" s="1">
        <f t="shared" si="1"/>
        <v>4</v>
      </c>
      <c r="M168" t="s">
        <v>245</v>
      </c>
      <c r="N168" t="s">
        <v>50</v>
      </c>
      <c r="O168" t="s">
        <v>285</v>
      </c>
    </row>
    <row r="169" spans="1:15" ht="14.25" customHeight="1">
      <c r="A169" s="5" t="str">
        <f t="shared" si="132"/>
        <v>514224</v>
      </c>
      <c r="B169" s="2" t="s">
        <v>314</v>
      </c>
      <c r="C169" s="1">
        <v>2510</v>
      </c>
      <c r="D169" s="1" t="s">
        <v>315</v>
      </c>
      <c r="E169" s="1">
        <v>1</v>
      </c>
      <c r="F169" s="1" t="s">
        <v>150</v>
      </c>
      <c r="G169" s="4" t="s">
        <v>113</v>
      </c>
      <c r="H169" s="3" t="s">
        <v>284</v>
      </c>
      <c r="I169" s="2" t="str">
        <f t="shared" ref="I169:J169" si="171">LEFT(F169,2)</f>
        <v>24</v>
      </c>
      <c r="J169" s="2" t="str">
        <f t="shared" si="171"/>
        <v>21</v>
      </c>
      <c r="K169" s="1">
        <f t="shared" si="1"/>
        <v>3</v>
      </c>
      <c r="M169" t="s">
        <v>24</v>
      </c>
      <c r="N169" t="s">
        <v>50</v>
      </c>
      <c r="O169" t="s">
        <v>285</v>
      </c>
    </row>
    <row r="170" spans="1:15" ht="14.25" customHeight="1">
      <c r="A170" s="5" t="str">
        <f t="shared" si="132"/>
        <v>514234</v>
      </c>
      <c r="B170" s="2" t="s">
        <v>316</v>
      </c>
      <c r="C170" s="1">
        <v>2510</v>
      </c>
      <c r="D170" s="1" t="s">
        <v>317</v>
      </c>
      <c r="E170" s="1">
        <v>1</v>
      </c>
      <c r="F170" s="1" t="s">
        <v>212</v>
      </c>
      <c r="G170" s="4" t="s">
        <v>137</v>
      </c>
      <c r="H170" s="3" t="s">
        <v>284</v>
      </c>
      <c r="I170" s="2" t="str">
        <f t="shared" ref="I170:J170" si="172">LEFT(F170,2)</f>
        <v>27</v>
      </c>
      <c r="J170" s="2" t="str">
        <f t="shared" si="172"/>
        <v>23</v>
      </c>
      <c r="K170" s="1">
        <f t="shared" si="1"/>
        <v>4</v>
      </c>
      <c r="M170" t="s">
        <v>18</v>
      </c>
      <c r="N170" t="s">
        <v>50</v>
      </c>
      <c r="O170" t="s">
        <v>285</v>
      </c>
    </row>
    <row r="171" spans="1:15" ht="14.25" customHeight="1">
      <c r="A171" s="5" t="str">
        <f t="shared" si="132"/>
        <v>494924</v>
      </c>
      <c r="B171" s="2" t="s">
        <v>318</v>
      </c>
      <c r="C171" s="1">
        <v>2510</v>
      </c>
      <c r="D171" s="1" t="s">
        <v>319</v>
      </c>
      <c r="E171" s="1">
        <v>3</v>
      </c>
      <c r="F171" s="1" t="s">
        <v>23</v>
      </c>
      <c r="G171" s="2" t="s">
        <v>23</v>
      </c>
      <c r="H171" s="1" t="s">
        <v>320</v>
      </c>
      <c r="I171" s="2" t="str">
        <f t="shared" ref="I171:J171" si="173">LEFT(F171,2)</f>
        <v>14</v>
      </c>
      <c r="J171" s="2" t="str">
        <f t="shared" si="173"/>
        <v>14</v>
      </c>
      <c r="K171" s="1">
        <f t="shared" si="1"/>
        <v>0</v>
      </c>
      <c r="M171" t="s">
        <v>24</v>
      </c>
      <c r="N171" t="s">
        <v>19</v>
      </c>
      <c r="O171" t="s">
        <v>321</v>
      </c>
    </row>
    <row r="172" spans="1:15" ht="14.25" customHeight="1">
      <c r="A172" s="5" t="str">
        <f t="shared" si="132"/>
        <v>504796</v>
      </c>
      <c r="B172" s="2" t="s">
        <v>322</v>
      </c>
      <c r="C172" s="1">
        <v>2510</v>
      </c>
      <c r="D172" s="1" t="s">
        <v>323</v>
      </c>
      <c r="E172" s="1">
        <v>12</v>
      </c>
      <c r="F172" s="1" t="s">
        <v>23</v>
      </c>
      <c r="G172" s="2" t="s">
        <v>23</v>
      </c>
      <c r="H172" s="1" t="s">
        <v>320</v>
      </c>
      <c r="I172" s="2" t="str">
        <f t="shared" ref="I172:J172" si="174">LEFT(F172,2)</f>
        <v>14</v>
      </c>
      <c r="J172" s="2" t="str">
        <f t="shared" si="174"/>
        <v>14</v>
      </c>
      <c r="K172" s="1">
        <f t="shared" si="1"/>
        <v>0</v>
      </c>
      <c r="M172" t="s">
        <v>18</v>
      </c>
      <c r="N172" t="s">
        <v>19</v>
      </c>
      <c r="O172" t="s">
        <v>321</v>
      </c>
    </row>
    <row r="173" spans="1:15" ht="14.25" customHeight="1">
      <c r="A173" s="5" t="str">
        <f t="shared" si="132"/>
        <v>504796</v>
      </c>
      <c r="B173" s="2" t="s">
        <v>324</v>
      </c>
      <c r="C173" s="1">
        <v>2510</v>
      </c>
      <c r="D173" s="1" t="s">
        <v>323</v>
      </c>
      <c r="E173" s="1">
        <v>6</v>
      </c>
      <c r="F173" s="1" t="s">
        <v>23</v>
      </c>
      <c r="G173" s="2" t="s">
        <v>23</v>
      </c>
      <c r="H173" s="1" t="s">
        <v>320</v>
      </c>
      <c r="I173" s="2" t="str">
        <f t="shared" ref="I173:J173" si="175">LEFT(F173,2)</f>
        <v>14</v>
      </c>
      <c r="J173" s="2" t="str">
        <f t="shared" si="175"/>
        <v>14</v>
      </c>
      <c r="K173" s="1">
        <f t="shared" si="1"/>
        <v>0</v>
      </c>
      <c r="M173" t="s">
        <v>18</v>
      </c>
      <c r="N173" t="s">
        <v>19</v>
      </c>
      <c r="O173" t="s">
        <v>321</v>
      </c>
    </row>
    <row r="174" spans="1:15" ht="14.25" customHeight="1">
      <c r="A174" s="5" t="str">
        <f t="shared" si="132"/>
        <v>504796</v>
      </c>
      <c r="B174" s="2" t="s">
        <v>325</v>
      </c>
      <c r="C174" s="1">
        <v>2510</v>
      </c>
      <c r="D174" s="1" t="s">
        <v>323</v>
      </c>
      <c r="E174" s="1">
        <v>12</v>
      </c>
      <c r="F174" s="1" t="s">
        <v>23</v>
      </c>
      <c r="G174" s="2" t="s">
        <v>23</v>
      </c>
      <c r="H174" s="1" t="s">
        <v>320</v>
      </c>
      <c r="I174" s="2" t="str">
        <f t="shared" ref="I174:J174" si="176">LEFT(F174,2)</f>
        <v>14</v>
      </c>
      <c r="J174" s="2" t="str">
        <f t="shared" si="176"/>
        <v>14</v>
      </c>
      <c r="K174" s="1">
        <f t="shared" si="1"/>
        <v>0</v>
      </c>
      <c r="M174" t="s">
        <v>18</v>
      </c>
      <c r="N174" t="s">
        <v>19</v>
      </c>
      <c r="O174" t="s">
        <v>321</v>
      </c>
    </row>
    <row r="175" spans="1:15" ht="14.25" customHeight="1">
      <c r="A175" s="5" t="str">
        <f t="shared" si="132"/>
        <v>504796</v>
      </c>
      <c r="B175" s="2" t="s">
        <v>326</v>
      </c>
      <c r="C175" s="1">
        <v>2510</v>
      </c>
      <c r="D175" s="1" t="s">
        <v>323</v>
      </c>
      <c r="E175" s="1">
        <v>16</v>
      </c>
      <c r="F175" s="1" t="s">
        <v>23</v>
      </c>
      <c r="G175" s="2" t="s">
        <v>23</v>
      </c>
      <c r="H175" s="1" t="s">
        <v>320</v>
      </c>
      <c r="I175" s="2" t="str">
        <f t="shared" ref="I175:J175" si="177">LEFT(F175,2)</f>
        <v>14</v>
      </c>
      <c r="J175" s="2" t="str">
        <f t="shared" si="177"/>
        <v>14</v>
      </c>
      <c r="K175" s="1">
        <f t="shared" si="1"/>
        <v>0</v>
      </c>
      <c r="M175" t="s">
        <v>18</v>
      </c>
      <c r="N175" t="s">
        <v>19</v>
      </c>
      <c r="O175" t="s">
        <v>321</v>
      </c>
    </row>
    <row r="176" spans="1:15" ht="14.25" customHeight="1">
      <c r="A176" s="5" t="str">
        <f t="shared" si="132"/>
        <v>504805</v>
      </c>
      <c r="B176" s="2" t="s">
        <v>327</v>
      </c>
      <c r="C176" s="1">
        <v>2510</v>
      </c>
      <c r="D176" s="1" t="s">
        <v>328</v>
      </c>
      <c r="E176" s="1">
        <v>1</v>
      </c>
      <c r="F176" s="1" t="s">
        <v>23</v>
      </c>
      <c r="G176" s="2" t="s">
        <v>23</v>
      </c>
      <c r="H176" s="1" t="s">
        <v>320</v>
      </c>
      <c r="I176" s="2" t="str">
        <f t="shared" ref="I176:J176" si="178">LEFT(F176,2)</f>
        <v>14</v>
      </c>
      <c r="J176" s="2" t="str">
        <f t="shared" si="178"/>
        <v>14</v>
      </c>
      <c r="K176" s="1">
        <f t="shared" si="1"/>
        <v>0</v>
      </c>
      <c r="M176" t="s">
        <v>18</v>
      </c>
      <c r="N176" t="s">
        <v>19</v>
      </c>
      <c r="O176" t="s">
        <v>321</v>
      </c>
    </row>
    <row r="177" spans="1:15" ht="14.25" customHeight="1">
      <c r="A177" s="5" t="str">
        <f t="shared" si="132"/>
        <v>504805</v>
      </c>
      <c r="B177" s="2" t="s">
        <v>329</v>
      </c>
      <c r="C177" s="1">
        <v>2510</v>
      </c>
      <c r="D177" s="1" t="s">
        <v>328</v>
      </c>
      <c r="E177" s="1">
        <v>2</v>
      </c>
      <c r="F177" s="1" t="s">
        <v>23</v>
      </c>
      <c r="G177" s="2" t="s">
        <v>23</v>
      </c>
      <c r="H177" s="1" t="s">
        <v>320</v>
      </c>
      <c r="I177" s="2" t="str">
        <f t="shared" ref="I177:J177" si="179">LEFT(F177,2)</f>
        <v>14</v>
      </c>
      <c r="J177" s="2" t="str">
        <f t="shared" si="179"/>
        <v>14</v>
      </c>
      <c r="K177" s="1">
        <f t="shared" si="1"/>
        <v>0</v>
      </c>
      <c r="M177" t="s">
        <v>18</v>
      </c>
      <c r="N177" t="s">
        <v>19</v>
      </c>
      <c r="O177" t="s">
        <v>321</v>
      </c>
    </row>
    <row r="178" spans="1:15" ht="14.25" customHeight="1">
      <c r="A178" s="5" t="str">
        <f t="shared" si="132"/>
        <v>511324</v>
      </c>
      <c r="B178" s="2" t="s">
        <v>330</v>
      </c>
      <c r="C178" s="1">
        <v>2510</v>
      </c>
      <c r="D178" s="1" t="s">
        <v>331</v>
      </c>
      <c r="E178" s="1">
        <v>1</v>
      </c>
      <c r="F178" s="1" t="s">
        <v>23</v>
      </c>
      <c r="G178" s="2" t="s">
        <v>23</v>
      </c>
      <c r="H178" s="1" t="s">
        <v>320</v>
      </c>
      <c r="I178" s="2" t="str">
        <f t="shared" ref="I178:J178" si="180">LEFT(F178,2)</f>
        <v>14</v>
      </c>
      <c r="J178" s="2" t="str">
        <f t="shared" si="180"/>
        <v>14</v>
      </c>
      <c r="K178" s="1">
        <f t="shared" si="1"/>
        <v>0</v>
      </c>
      <c r="M178" t="s">
        <v>18</v>
      </c>
      <c r="N178" t="s">
        <v>19</v>
      </c>
      <c r="O178" t="s">
        <v>321</v>
      </c>
    </row>
    <row r="179" spans="1:15" ht="14.25" customHeight="1">
      <c r="A179" s="5" t="str">
        <f t="shared" si="132"/>
        <v>511324</v>
      </c>
      <c r="B179" s="2" t="s">
        <v>332</v>
      </c>
      <c r="C179" s="1">
        <v>2510</v>
      </c>
      <c r="D179" s="1" t="s">
        <v>331</v>
      </c>
      <c r="E179" s="1">
        <v>1</v>
      </c>
      <c r="F179" s="1" t="s">
        <v>23</v>
      </c>
      <c r="G179" s="2" t="s">
        <v>23</v>
      </c>
      <c r="H179" s="1" t="s">
        <v>320</v>
      </c>
      <c r="I179" s="2" t="str">
        <f t="shared" ref="I179:J179" si="181">LEFT(F179,2)</f>
        <v>14</v>
      </c>
      <c r="J179" s="2" t="str">
        <f t="shared" si="181"/>
        <v>14</v>
      </c>
      <c r="K179" s="1">
        <f t="shared" si="1"/>
        <v>0</v>
      </c>
      <c r="M179" t="s">
        <v>18</v>
      </c>
      <c r="N179" t="s">
        <v>19</v>
      </c>
      <c r="O179" t="s">
        <v>321</v>
      </c>
    </row>
    <row r="180" spans="1:15" ht="14.25" customHeight="1">
      <c r="A180" s="5" t="str">
        <f t="shared" si="132"/>
        <v>518863</v>
      </c>
      <c r="B180" s="2" t="s">
        <v>333</v>
      </c>
      <c r="C180" s="1">
        <v>2510</v>
      </c>
      <c r="D180" s="1" t="s">
        <v>334</v>
      </c>
      <c r="E180" s="1">
        <v>1</v>
      </c>
      <c r="F180" s="1" t="s">
        <v>23</v>
      </c>
      <c r="G180" s="2" t="s">
        <v>23</v>
      </c>
      <c r="H180" s="1" t="s">
        <v>320</v>
      </c>
      <c r="I180" s="2" t="str">
        <f t="shared" ref="I180:J180" si="182">LEFT(F180,2)</f>
        <v>14</v>
      </c>
      <c r="J180" s="2" t="str">
        <f t="shared" si="182"/>
        <v>14</v>
      </c>
      <c r="K180" s="1">
        <f t="shared" si="1"/>
        <v>0</v>
      </c>
      <c r="M180" t="s">
        <v>91</v>
      </c>
      <c r="N180" t="s">
        <v>19</v>
      </c>
      <c r="O180" t="s">
        <v>321</v>
      </c>
    </row>
    <row r="181" spans="1:15" ht="14.25" customHeight="1">
      <c r="A181" s="5" t="str">
        <f t="shared" si="132"/>
        <v>518863</v>
      </c>
      <c r="B181" s="2" t="s">
        <v>335</v>
      </c>
      <c r="C181" s="1">
        <v>2510</v>
      </c>
      <c r="D181" s="1" t="s">
        <v>334</v>
      </c>
      <c r="E181" s="1">
        <v>3</v>
      </c>
      <c r="F181" s="1" t="s">
        <v>23</v>
      </c>
      <c r="G181" s="2" t="s">
        <v>23</v>
      </c>
      <c r="H181" s="1" t="s">
        <v>320</v>
      </c>
      <c r="I181" s="2" t="str">
        <f t="shared" ref="I181:J181" si="183">LEFT(F181,2)</f>
        <v>14</v>
      </c>
      <c r="J181" s="2" t="str">
        <f t="shared" si="183"/>
        <v>14</v>
      </c>
      <c r="K181" s="1">
        <f t="shared" si="1"/>
        <v>0</v>
      </c>
      <c r="M181" t="s">
        <v>91</v>
      </c>
      <c r="N181" t="s">
        <v>19</v>
      </c>
      <c r="O181" t="s">
        <v>321</v>
      </c>
    </row>
    <row r="182" spans="1:15" ht="14.25" customHeight="1">
      <c r="A182" s="5" t="str">
        <f t="shared" si="132"/>
        <v>518863</v>
      </c>
      <c r="B182" s="2" t="s">
        <v>336</v>
      </c>
      <c r="C182" s="1">
        <v>2510</v>
      </c>
      <c r="D182" s="1" t="s">
        <v>334</v>
      </c>
      <c r="E182" s="1">
        <v>2</v>
      </c>
      <c r="F182" s="1" t="s">
        <v>23</v>
      </c>
      <c r="G182" s="2" t="s">
        <v>23</v>
      </c>
      <c r="H182" s="1" t="s">
        <v>320</v>
      </c>
      <c r="I182" s="2" t="str">
        <f t="shared" ref="I182:J182" si="184">LEFT(F182,2)</f>
        <v>14</v>
      </c>
      <c r="J182" s="2" t="str">
        <f t="shared" si="184"/>
        <v>14</v>
      </c>
      <c r="K182" s="1">
        <f t="shared" si="1"/>
        <v>0</v>
      </c>
      <c r="M182" t="s">
        <v>91</v>
      </c>
      <c r="N182" t="s">
        <v>19</v>
      </c>
      <c r="O182" t="s">
        <v>321</v>
      </c>
    </row>
    <row r="183" spans="1:15" ht="14.25" customHeight="1">
      <c r="A183" s="5" t="str">
        <f t="shared" si="132"/>
        <v>519509</v>
      </c>
      <c r="B183" s="2" t="s">
        <v>337</v>
      </c>
      <c r="C183" s="1">
        <v>2510</v>
      </c>
      <c r="D183" s="1" t="s">
        <v>338</v>
      </c>
      <c r="E183" s="1">
        <v>2</v>
      </c>
      <c r="F183" s="1" t="s">
        <v>23</v>
      </c>
      <c r="G183" s="2" t="s">
        <v>23</v>
      </c>
      <c r="H183" s="1" t="s">
        <v>320</v>
      </c>
      <c r="I183" s="2" t="str">
        <f t="shared" ref="I183:J183" si="185">LEFT(F183,2)</f>
        <v>14</v>
      </c>
      <c r="J183" s="2" t="str">
        <f t="shared" si="185"/>
        <v>14</v>
      </c>
      <c r="K183" s="1">
        <f t="shared" si="1"/>
        <v>0</v>
      </c>
      <c r="M183" t="s">
        <v>24</v>
      </c>
      <c r="N183" t="s">
        <v>19</v>
      </c>
      <c r="O183" t="s">
        <v>321</v>
      </c>
    </row>
    <row r="184" spans="1:15" ht="14.25" customHeight="1">
      <c r="A184" s="5" t="str">
        <f t="shared" si="132"/>
        <v>519509</v>
      </c>
      <c r="B184" s="2" t="s">
        <v>339</v>
      </c>
      <c r="C184" s="1">
        <v>2510</v>
      </c>
      <c r="D184" s="1" t="s">
        <v>338</v>
      </c>
      <c r="E184" s="1">
        <v>2</v>
      </c>
      <c r="F184" s="1" t="s">
        <v>23</v>
      </c>
      <c r="G184" s="2" t="s">
        <v>23</v>
      </c>
      <c r="H184" s="1" t="s">
        <v>320</v>
      </c>
      <c r="I184" s="2" t="str">
        <f t="shared" ref="I184:J184" si="186">LEFT(F184,2)</f>
        <v>14</v>
      </c>
      <c r="J184" s="2" t="str">
        <f t="shared" si="186"/>
        <v>14</v>
      </c>
      <c r="K184" s="1">
        <f t="shared" si="1"/>
        <v>0</v>
      </c>
      <c r="M184" t="s">
        <v>24</v>
      </c>
      <c r="N184" t="s">
        <v>19</v>
      </c>
      <c r="O184" t="s">
        <v>321</v>
      </c>
    </row>
    <row r="185" spans="1:15" ht="14.25" customHeight="1">
      <c r="A185" s="5" t="str">
        <f t="shared" si="132"/>
        <v>526647</v>
      </c>
      <c r="B185" s="2" t="s">
        <v>340</v>
      </c>
      <c r="C185" s="1">
        <v>2510</v>
      </c>
      <c r="D185" s="1" t="s">
        <v>341</v>
      </c>
      <c r="E185" s="1">
        <v>2</v>
      </c>
      <c r="F185" s="1" t="s">
        <v>23</v>
      </c>
      <c r="G185" s="2" t="s">
        <v>23</v>
      </c>
      <c r="H185" s="1" t="s">
        <v>320</v>
      </c>
      <c r="I185" s="2" t="str">
        <f t="shared" ref="I185:J185" si="187">LEFT(F185,2)</f>
        <v>14</v>
      </c>
      <c r="J185" s="2" t="str">
        <f t="shared" si="187"/>
        <v>14</v>
      </c>
      <c r="K185" s="1">
        <f t="shared" si="1"/>
        <v>0</v>
      </c>
      <c r="M185" t="s">
        <v>24</v>
      </c>
      <c r="N185" t="s">
        <v>19</v>
      </c>
      <c r="O185" t="s">
        <v>321</v>
      </c>
    </row>
    <row r="186" spans="1:15" ht="14.25" customHeight="1">
      <c r="A186" s="5" t="str">
        <f t="shared" si="132"/>
        <v>526654</v>
      </c>
      <c r="B186" s="2" t="s">
        <v>342</v>
      </c>
      <c r="C186" s="1">
        <v>2510</v>
      </c>
      <c r="D186" s="1" t="s">
        <v>343</v>
      </c>
      <c r="E186" s="1">
        <v>6</v>
      </c>
      <c r="F186" s="1" t="s">
        <v>23</v>
      </c>
      <c r="G186" s="2" t="s">
        <v>23</v>
      </c>
      <c r="H186" s="1" t="s">
        <v>320</v>
      </c>
      <c r="I186" s="2" t="str">
        <f t="shared" ref="I186:J186" si="188">LEFT(F186,2)</f>
        <v>14</v>
      </c>
      <c r="J186" s="2" t="str">
        <f t="shared" si="188"/>
        <v>14</v>
      </c>
      <c r="K186" s="1">
        <f t="shared" si="1"/>
        <v>0</v>
      </c>
      <c r="M186" t="s">
        <v>18</v>
      </c>
      <c r="N186" t="s">
        <v>19</v>
      </c>
      <c r="O186" t="s">
        <v>321</v>
      </c>
    </row>
    <row r="187" spans="1:15" ht="14.25" customHeight="1">
      <c r="A187" s="5" t="str">
        <f t="shared" si="132"/>
        <v>526657</v>
      </c>
      <c r="B187" s="2" t="s">
        <v>344</v>
      </c>
      <c r="C187" s="1">
        <v>2510</v>
      </c>
      <c r="D187" s="1" t="s">
        <v>345</v>
      </c>
      <c r="E187" s="1">
        <v>7</v>
      </c>
      <c r="F187" s="1" t="s">
        <v>23</v>
      </c>
      <c r="G187" s="2" t="s">
        <v>23</v>
      </c>
      <c r="H187" s="1" t="s">
        <v>320</v>
      </c>
      <c r="I187" s="2" t="str">
        <f t="shared" ref="I187:J187" si="189">LEFT(F187,2)</f>
        <v>14</v>
      </c>
      <c r="J187" s="2" t="str">
        <f t="shared" si="189"/>
        <v>14</v>
      </c>
      <c r="K187" s="1">
        <f t="shared" si="1"/>
        <v>0</v>
      </c>
      <c r="M187" t="s">
        <v>18</v>
      </c>
      <c r="N187" t="s">
        <v>19</v>
      </c>
      <c r="O187" t="s">
        <v>321</v>
      </c>
    </row>
    <row r="188" spans="1:15" ht="14.25" customHeight="1">
      <c r="A188" s="5" t="str">
        <f t="shared" si="132"/>
        <v>528981</v>
      </c>
      <c r="B188" s="2" t="s">
        <v>346</v>
      </c>
      <c r="C188" s="1">
        <v>2510</v>
      </c>
      <c r="D188" s="1" t="s">
        <v>347</v>
      </c>
      <c r="E188" s="1">
        <v>6</v>
      </c>
      <c r="F188" s="1" t="s">
        <v>23</v>
      </c>
      <c r="G188" s="2" t="s">
        <v>23</v>
      </c>
      <c r="H188" s="1" t="s">
        <v>320</v>
      </c>
      <c r="I188" s="2" t="str">
        <f t="shared" ref="I188:J188" si="190">LEFT(F188,2)</f>
        <v>14</v>
      </c>
      <c r="J188" s="2" t="str">
        <f t="shared" si="190"/>
        <v>14</v>
      </c>
      <c r="K188" s="1">
        <f t="shared" si="1"/>
        <v>0</v>
      </c>
      <c r="M188" t="s">
        <v>24</v>
      </c>
      <c r="N188" t="s">
        <v>19</v>
      </c>
      <c r="O188" t="s">
        <v>321</v>
      </c>
    </row>
    <row r="189" spans="1:15" ht="14.25" customHeight="1">
      <c r="A189" s="5" t="str">
        <f t="shared" si="132"/>
        <v>528982</v>
      </c>
      <c r="B189" s="2" t="s">
        <v>348</v>
      </c>
      <c r="C189" s="1">
        <v>2510</v>
      </c>
      <c r="D189" s="1" t="s">
        <v>349</v>
      </c>
      <c r="E189" s="1">
        <v>2</v>
      </c>
      <c r="F189" s="1" t="s">
        <v>23</v>
      </c>
      <c r="G189" s="2" t="s">
        <v>23</v>
      </c>
      <c r="H189" s="1" t="s">
        <v>320</v>
      </c>
      <c r="I189" s="2" t="str">
        <f t="shared" ref="I189:J189" si="191">LEFT(F189,2)</f>
        <v>14</v>
      </c>
      <c r="J189" s="2" t="str">
        <f t="shared" si="191"/>
        <v>14</v>
      </c>
      <c r="K189" s="1">
        <f t="shared" si="1"/>
        <v>0</v>
      </c>
      <c r="M189" t="s">
        <v>24</v>
      </c>
      <c r="N189" t="s">
        <v>19</v>
      </c>
      <c r="O189" t="s">
        <v>321</v>
      </c>
    </row>
    <row r="190" spans="1:15" ht="14.25" customHeight="1">
      <c r="A190" s="5" t="str">
        <f t="shared" si="132"/>
        <v>530969</v>
      </c>
      <c r="B190" s="2" t="s">
        <v>350</v>
      </c>
      <c r="C190" s="1">
        <v>2510</v>
      </c>
      <c r="D190" s="1" t="s">
        <v>351</v>
      </c>
      <c r="E190" s="1">
        <v>1</v>
      </c>
      <c r="F190" s="1" t="s">
        <v>23</v>
      </c>
      <c r="G190" s="2" t="s">
        <v>23</v>
      </c>
      <c r="H190" s="1" t="s">
        <v>320</v>
      </c>
      <c r="I190" s="2" t="str">
        <f t="shared" ref="I190:J190" si="192">LEFT(F190,2)</f>
        <v>14</v>
      </c>
      <c r="J190" s="2" t="str">
        <f t="shared" si="192"/>
        <v>14</v>
      </c>
      <c r="K190" s="1">
        <f t="shared" si="1"/>
        <v>0</v>
      </c>
      <c r="M190" t="s">
        <v>18</v>
      </c>
      <c r="N190" t="s">
        <v>19</v>
      </c>
      <c r="O190" t="s">
        <v>321</v>
      </c>
    </row>
    <row r="191" spans="1:15" ht="14.25" customHeight="1">
      <c r="A191" s="5" t="str">
        <f t="shared" si="132"/>
        <v>530971</v>
      </c>
      <c r="B191" s="2" t="s">
        <v>352</v>
      </c>
      <c r="C191" s="1">
        <v>2510</v>
      </c>
      <c r="D191" s="1" t="s">
        <v>353</v>
      </c>
      <c r="E191" s="1">
        <v>1</v>
      </c>
      <c r="F191" s="1" t="s">
        <v>23</v>
      </c>
      <c r="G191" s="2" t="s">
        <v>23</v>
      </c>
      <c r="H191" s="1" t="s">
        <v>320</v>
      </c>
      <c r="I191" s="2" t="str">
        <f t="shared" ref="I191:J191" si="193">LEFT(F191,2)</f>
        <v>14</v>
      </c>
      <c r="J191" s="2" t="str">
        <f t="shared" si="193"/>
        <v>14</v>
      </c>
      <c r="K191" s="1">
        <f t="shared" si="1"/>
        <v>0</v>
      </c>
      <c r="M191" t="s">
        <v>18</v>
      </c>
      <c r="N191" t="s">
        <v>19</v>
      </c>
      <c r="O191" t="s">
        <v>321</v>
      </c>
    </row>
    <row r="192" spans="1:15" ht="14.25" customHeight="1">
      <c r="A192" s="5" t="str">
        <f t="shared" si="132"/>
        <v>530974</v>
      </c>
      <c r="B192" s="2" t="s">
        <v>354</v>
      </c>
      <c r="C192" s="1">
        <v>2510</v>
      </c>
      <c r="D192" s="1" t="s">
        <v>355</v>
      </c>
      <c r="E192" s="1">
        <v>2</v>
      </c>
      <c r="F192" s="1" t="s">
        <v>23</v>
      </c>
      <c r="G192" s="2" t="s">
        <v>23</v>
      </c>
      <c r="H192" s="1" t="s">
        <v>320</v>
      </c>
      <c r="I192" s="2" t="str">
        <f t="shared" ref="I192:J192" si="194">LEFT(F192,2)</f>
        <v>14</v>
      </c>
      <c r="J192" s="2" t="str">
        <f t="shared" si="194"/>
        <v>14</v>
      </c>
      <c r="K192" s="1">
        <f t="shared" si="1"/>
        <v>0</v>
      </c>
      <c r="M192" t="s">
        <v>18</v>
      </c>
      <c r="N192" t="s">
        <v>19</v>
      </c>
      <c r="O192" t="s">
        <v>321</v>
      </c>
    </row>
    <row r="193" spans="1:15" ht="14.25" customHeight="1">
      <c r="A193" s="5" t="str">
        <f t="shared" si="132"/>
        <v>537161</v>
      </c>
      <c r="B193" s="2" t="s">
        <v>356</v>
      </c>
      <c r="C193" s="1">
        <v>2510</v>
      </c>
      <c r="D193" s="1" t="s">
        <v>357</v>
      </c>
      <c r="E193" s="1">
        <v>2</v>
      </c>
      <c r="F193" s="1" t="s">
        <v>23</v>
      </c>
      <c r="G193" s="2" t="s">
        <v>23</v>
      </c>
      <c r="H193" s="1" t="s">
        <v>320</v>
      </c>
      <c r="I193" s="2" t="str">
        <f t="shared" ref="I193:J193" si="195">LEFT(F193,2)</f>
        <v>14</v>
      </c>
      <c r="J193" s="2" t="str">
        <f t="shared" si="195"/>
        <v>14</v>
      </c>
      <c r="K193" s="1">
        <f t="shared" si="1"/>
        <v>0</v>
      </c>
      <c r="M193" t="s">
        <v>34</v>
      </c>
      <c r="N193" t="s">
        <v>19</v>
      </c>
      <c r="O193" t="s">
        <v>321</v>
      </c>
    </row>
    <row r="194" spans="1:15" ht="14.25" customHeight="1">
      <c r="A194" s="5" t="str">
        <f t="shared" si="132"/>
        <v>537161</v>
      </c>
      <c r="B194" s="2" t="s">
        <v>358</v>
      </c>
      <c r="C194" s="1">
        <v>2510</v>
      </c>
      <c r="D194" s="1" t="s">
        <v>357</v>
      </c>
      <c r="E194" s="1">
        <v>2</v>
      </c>
      <c r="F194" s="1" t="s">
        <v>23</v>
      </c>
      <c r="G194" s="2" t="s">
        <v>23</v>
      </c>
      <c r="H194" s="1" t="s">
        <v>320</v>
      </c>
      <c r="I194" s="2" t="str">
        <f t="shared" ref="I194:J194" si="196">LEFT(F194,2)</f>
        <v>14</v>
      </c>
      <c r="J194" s="2" t="str">
        <f t="shared" si="196"/>
        <v>14</v>
      </c>
      <c r="K194" s="1">
        <f t="shared" si="1"/>
        <v>0</v>
      </c>
      <c r="M194" t="s">
        <v>34</v>
      </c>
      <c r="N194" t="s">
        <v>19</v>
      </c>
      <c r="O194" t="s">
        <v>321</v>
      </c>
    </row>
    <row r="195" spans="1:15" ht="14.25" customHeight="1">
      <c r="A195" s="5" t="str">
        <f t="shared" ref="A195:A258" si="197">LEFT(B195,6)</f>
        <v>496381</v>
      </c>
      <c r="B195" s="2" t="s">
        <v>359</v>
      </c>
      <c r="C195" s="1">
        <v>2504</v>
      </c>
      <c r="D195" s="1" t="s">
        <v>360</v>
      </c>
      <c r="E195" s="1">
        <v>1</v>
      </c>
      <c r="F195" s="1" t="s">
        <v>15</v>
      </c>
      <c r="G195" s="2" t="s">
        <v>15</v>
      </c>
      <c r="H195" s="1" t="s">
        <v>320</v>
      </c>
      <c r="I195" s="2" t="str">
        <f t="shared" ref="I195:J195" si="198">LEFT(F195,2)</f>
        <v>15</v>
      </c>
      <c r="J195" s="2" t="str">
        <f t="shared" si="198"/>
        <v>15</v>
      </c>
      <c r="K195" s="1">
        <f t="shared" si="1"/>
        <v>0</v>
      </c>
      <c r="M195" t="s">
        <v>18</v>
      </c>
      <c r="N195" t="s">
        <v>19</v>
      </c>
      <c r="O195" t="s">
        <v>321</v>
      </c>
    </row>
    <row r="196" spans="1:15" ht="14.25" customHeight="1">
      <c r="A196" s="5" t="str">
        <f t="shared" si="197"/>
        <v>515862</v>
      </c>
      <c r="B196" s="2" t="s">
        <v>361</v>
      </c>
      <c r="C196" s="1">
        <v>2510</v>
      </c>
      <c r="D196" s="1" t="s">
        <v>362</v>
      </c>
      <c r="E196" s="1">
        <v>8</v>
      </c>
      <c r="F196" s="1" t="s">
        <v>15</v>
      </c>
      <c r="G196" s="2" t="s">
        <v>15</v>
      </c>
      <c r="H196" s="1" t="s">
        <v>320</v>
      </c>
      <c r="I196" s="2" t="str">
        <f t="shared" ref="I196:J196" si="199">LEFT(F196,2)</f>
        <v>15</v>
      </c>
      <c r="J196" s="2" t="str">
        <f t="shared" si="199"/>
        <v>15</v>
      </c>
      <c r="K196" s="1">
        <f t="shared" si="1"/>
        <v>0</v>
      </c>
      <c r="M196" t="s">
        <v>27</v>
      </c>
      <c r="N196" t="s">
        <v>19</v>
      </c>
      <c r="O196" t="s">
        <v>321</v>
      </c>
    </row>
    <row r="197" spans="1:15" ht="14.25" customHeight="1">
      <c r="A197" s="5" t="str">
        <f t="shared" si="197"/>
        <v>525566</v>
      </c>
      <c r="B197" s="2" t="s">
        <v>363</v>
      </c>
      <c r="C197" s="1">
        <v>2510</v>
      </c>
      <c r="D197" s="1" t="s">
        <v>364</v>
      </c>
      <c r="E197" s="1">
        <v>12</v>
      </c>
      <c r="F197" s="1" t="s">
        <v>15</v>
      </c>
      <c r="G197" s="2" t="s">
        <v>15</v>
      </c>
      <c r="H197" s="1" t="s">
        <v>320</v>
      </c>
      <c r="I197" s="2" t="str">
        <f t="shared" ref="I197:J197" si="200">LEFT(F197,2)</f>
        <v>15</v>
      </c>
      <c r="J197" s="2" t="str">
        <f t="shared" si="200"/>
        <v>15</v>
      </c>
      <c r="K197" s="1">
        <f t="shared" si="1"/>
        <v>0</v>
      </c>
      <c r="M197" t="s">
        <v>18</v>
      </c>
      <c r="N197" t="s">
        <v>19</v>
      </c>
      <c r="O197" t="s">
        <v>321</v>
      </c>
    </row>
    <row r="198" spans="1:15" ht="14.25" customHeight="1">
      <c r="A198" s="5" t="str">
        <f t="shared" si="197"/>
        <v>525566</v>
      </c>
      <c r="B198" s="2" t="s">
        <v>365</v>
      </c>
      <c r="C198" s="1">
        <v>2510</v>
      </c>
      <c r="D198" s="1" t="s">
        <v>364</v>
      </c>
      <c r="E198" s="1">
        <v>1</v>
      </c>
      <c r="F198" s="1" t="s">
        <v>15</v>
      </c>
      <c r="G198" s="2" t="s">
        <v>15</v>
      </c>
      <c r="H198" s="1" t="s">
        <v>320</v>
      </c>
      <c r="I198" s="2" t="str">
        <f t="shared" ref="I198:J198" si="201">LEFT(F198,2)</f>
        <v>15</v>
      </c>
      <c r="J198" s="2" t="str">
        <f t="shared" si="201"/>
        <v>15</v>
      </c>
      <c r="K198" s="1">
        <f t="shared" si="1"/>
        <v>0</v>
      </c>
      <c r="M198" t="s">
        <v>18</v>
      </c>
      <c r="N198" t="s">
        <v>19</v>
      </c>
      <c r="O198" t="s">
        <v>321</v>
      </c>
    </row>
    <row r="199" spans="1:15" ht="14.25" customHeight="1">
      <c r="A199" s="5" t="str">
        <f t="shared" si="197"/>
        <v>525566</v>
      </c>
      <c r="B199" s="2" t="s">
        <v>366</v>
      </c>
      <c r="C199" s="1">
        <v>2510</v>
      </c>
      <c r="D199" s="1" t="s">
        <v>364</v>
      </c>
      <c r="E199" s="1">
        <v>6</v>
      </c>
      <c r="F199" s="1" t="s">
        <v>15</v>
      </c>
      <c r="G199" s="2" t="s">
        <v>15</v>
      </c>
      <c r="H199" s="1" t="s">
        <v>320</v>
      </c>
      <c r="I199" s="2" t="str">
        <f t="shared" ref="I199:J199" si="202">LEFT(F199,2)</f>
        <v>15</v>
      </c>
      <c r="J199" s="2" t="str">
        <f t="shared" si="202"/>
        <v>15</v>
      </c>
      <c r="K199" s="1">
        <f t="shared" si="1"/>
        <v>0</v>
      </c>
      <c r="M199" t="s">
        <v>18</v>
      </c>
      <c r="N199" t="s">
        <v>19</v>
      </c>
      <c r="O199" t="s">
        <v>321</v>
      </c>
    </row>
    <row r="200" spans="1:15" ht="14.25" customHeight="1">
      <c r="A200" s="5" t="str">
        <f t="shared" si="197"/>
        <v>494846</v>
      </c>
      <c r="B200" s="2" t="s">
        <v>367</v>
      </c>
      <c r="C200" s="1">
        <v>2510</v>
      </c>
      <c r="D200" s="1" t="s">
        <v>368</v>
      </c>
      <c r="E200" s="1">
        <v>1</v>
      </c>
      <c r="F200" s="1" t="s">
        <v>33</v>
      </c>
      <c r="G200" s="2" t="s">
        <v>15</v>
      </c>
      <c r="H200" s="1" t="s">
        <v>320</v>
      </c>
      <c r="I200" s="2" t="str">
        <f t="shared" ref="I200:J200" si="203">LEFT(F200,2)</f>
        <v>16</v>
      </c>
      <c r="J200" s="2" t="str">
        <f t="shared" si="203"/>
        <v>15</v>
      </c>
      <c r="K200" s="1">
        <f t="shared" si="1"/>
        <v>1</v>
      </c>
      <c r="M200" t="s">
        <v>18</v>
      </c>
      <c r="N200" t="s">
        <v>19</v>
      </c>
      <c r="O200" t="s">
        <v>321</v>
      </c>
    </row>
    <row r="201" spans="1:15" ht="14.25" customHeight="1">
      <c r="A201" s="5" t="str">
        <f t="shared" si="197"/>
        <v>494846</v>
      </c>
      <c r="B201" s="2" t="s">
        <v>369</v>
      </c>
      <c r="C201" s="1">
        <v>2510</v>
      </c>
      <c r="D201" s="1" t="s">
        <v>368</v>
      </c>
      <c r="E201" s="1">
        <v>1</v>
      </c>
      <c r="F201" s="1" t="s">
        <v>33</v>
      </c>
      <c r="G201" s="2" t="s">
        <v>15</v>
      </c>
      <c r="H201" s="1" t="s">
        <v>320</v>
      </c>
      <c r="I201" s="2" t="str">
        <f t="shared" ref="I201:J201" si="204">LEFT(F201,2)</f>
        <v>16</v>
      </c>
      <c r="J201" s="2" t="str">
        <f t="shared" si="204"/>
        <v>15</v>
      </c>
      <c r="K201" s="1">
        <f t="shared" si="1"/>
        <v>1</v>
      </c>
      <c r="M201" t="s">
        <v>18</v>
      </c>
      <c r="N201" t="s">
        <v>19</v>
      </c>
      <c r="O201" t="s">
        <v>321</v>
      </c>
    </row>
    <row r="202" spans="1:15" ht="14.25" customHeight="1">
      <c r="A202" s="5" t="str">
        <f t="shared" si="197"/>
        <v>494848</v>
      </c>
      <c r="B202" s="2" t="s">
        <v>370</v>
      </c>
      <c r="C202" s="1">
        <v>2510</v>
      </c>
      <c r="D202" s="1" t="s">
        <v>371</v>
      </c>
      <c r="E202" s="1">
        <v>1</v>
      </c>
      <c r="F202" s="1" t="s">
        <v>33</v>
      </c>
      <c r="G202" s="2" t="s">
        <v>23</v>
      </c>
      <c r="H202" s="1" t="s">
        <v>320</v>
      </c>
      <c r="I202" s="2" t="str">
        <f t="shared" ref="I202:J202" si="205">LEFT(F202,2)</f>
        <v>16</v>
      </c>
      <c r="J202" s="2" t="str">
        <f t="shared" si="205"/>
        <v>14</v>
      </c>
      <c r="K202" s="1">
        <f t="shared" si="1"/>
        <v>2</v>
      </c>
      <c r="M202" t="s">
        <v>27</v>
      </c>
      <c r="N202" t="s">
        <v>19</v>
      </c>
      <c r="O202" t="s">
        <v>321</v>
      </c>
    </row>
    <row r="203" spans="1:15" ht="14.25" customHeight="1">
      <c r="A203" s="5" t="str">
        <f t="shared" si="197"/>
        <v>494848</v>
      </c>
      <c r="B203" s="2" t="s">
        <v>372</v>
      </c>
      <c r="C203" s="1">
        <v>2510</v>
      </c>
      <c r="D203" s="1" t="s">
        <v>371</v>
      </c>
      <c r="E203" s="1">
        <v>6</v>
      </c>
      <c r="F203" s="1" t="s">
        <v>33</v>
      </c>
      <c r="G203" s="2" t="s">
        <v>15</v>
      </c>
      <c r="H203" s="1" t="s">
        <v>320</v>
      </c>
      <c r="I203" s="2" t="str">
        <f t="shared" ref="I203:J203" si="206">LEFT(F203,2)</f>
        <v>16</v>
      </c>
      <c r="J203" s="2" t="str">
        <f t="shared" si="206"/>
        <v>15</v>
      </c>
      <c r="K203" s="1">
        <f t="shared" si="1"/>
        <v>1</v>
      </c>
      <c r="M203" t="s">
        <v>27</v>
      </c>
      <c r="N203" t="s">
        <v>19</v>
      </c>
      <c r="O203" t="s">
        <v>321</v>
      </c>
    </row>
    <row r="204" spans="1:15" ht="14.25" customHeight="1">
      <c r="A204" s="5" t="str">
        <f t="shared" si="197"/>
        <v>494850</v>
      </c>
      <c r="B204" s="2" t="s">
        <v>373</v>
      </c>
      <c r="C204" s="1">
        <v>2510</v>
      </c>
      <c r="D204" s="1" t="s">
        <v>374</v>
      </c>
      <c r="E204" s="1">
        <v>3</v>
      </c>
      <c r="F204" s="1" t="s">
        <v>33</v>
      </c>
      <c r="G204" s="2" t="s">
        <v>15</v>
      </c>
      <c r="H204" s="1" t="s">
        <v>320</v>
      </c>
      <c r="I204" s="2" t="str">
        <f t="shared" ref="I204:J204" si="207">LEFT(F204,2)</f>
        <v>16</v>
      </c>
      <c r="J204" s="2" t="str">
        <f t="shared" si="207"/>
        <v>15</v>
      </c>
      <c r="K204" s="1">
        <f t="shared" si="1"/>
        <v>1</v>
      </c>
      <c r="M204" t="s">
        <v>27</v>
      </c>
      <c r="N204" t="s">
        <v>19</v>
      </c>
      <c r="O204" t="s">
        <v>321</v>
      </c>
    </row>
    <row r="205" spans="1:15" ht="14.25" customHeight="1">
      <c r="A205" s="5" t="str">
        <f t="shared" si="197"/>
        <v>494850</v>
      </c>
      <c r="B205" s="2" t="s">
        <v>375</v>
      </c>
      <c r="C205" s="1">
        <v>2510</v>
      </c>
      <c r="D205" s="1" t="s">
        <v>374</v>
      </c>
      <c r="E205" s="1">
        <v>3</v>
      </c>
      <c r="F205" s="1" t="s">
        <v>33</v>
      </c>
      <c r="G205" s="2" t="s">
        <v>15</v>
      </c>
      <c r="H205" s="1" t="s">
        <v>320</v>
      </c>
      <c r="I205" s="2" t="str">
        <f t="shared" ref="I205:J205" si="208">LEFT(F205,2)</f>
        <v>16</v>
      </c>
      <c r="J205" s="2" t="str">
        <f t="shared" si="208"/>
        <v>15</v>
      </c>
      <c r="K205" s="1">
        <f t="shared" si="1"/>
        <v>1</v>
      </c>
      <c r="M205" t="s">
        <v>27</v>
      </c>
      <c r="N205" t="s">
        <v>19</v>
      </c>
      <c r="O205" t="s">
        <v>321</v>
      </c>
    </row>
    <row r="206" spans="1:15" ht="14.25" customHeight="1">
      <c r="A206" s="5" t="str">
        <f t="shared" si="197"/>
        <v>494850</v>
      </c>
      <c r="B206" s="2" t="s">
        <v>376</v>
      </c>
      <c r="C206" s="1">
        <v>2510</v>
      </c>
      <c r="D206" s="1" t="s">
        <v>374</v>
      </c>
      <c r="E206" s="1">
        <v>2</v>
      </c>
      <c r="F206" s="1" t="s">
        <v>33</v>
      </c>
      <c r="G206" s="2" t="s">
        <v>15</v>
      </c>
      <c r="H206" s="1" t="s">
        <v>320</v>
      </c>
      <c r="I206" s="2" t="str">
        <f t="shared" ref="I206:J206" si="209">LEFT(F206,2)</f>
        <v>16</v>
      </c>
      <c r="J206" s="2" t="str">
        <f t="shared" si="209"/>
        <v>15</v>
      </c>
      <c r="K206" s="1">
        <f t="shared" si="1"/>
        <v>1</v>
      </c>
      <c r="M206" t="s">
        <v>27</v>
      </c>
      <c r="N206" t="s">
        <v>19</v>
      </c>
      <c r="O206" t="s">
        <v>321</v>
      </c>
    </row>
    <row r="207" spans="1:15" ht="14.25" customHeight="1">
      <c r="A207" s="5" t="str">
        <f t="shared" si="197"/>
        <v>497051</v>
      </c>
      <c r="B207" s="2" t="s">
        <v>377</v>
      </c>
      <c r="C207" s="1">
        <v>2510</v>
      </c>
      <c r="D207" s="1" t="s">
        <v>378</v>
      </c>
      <c r="E207" s="1">
        <v>1</v>
      </c>
      <c r="F207" s="1" t="s">
        <v>33</v>
      </c>
      <c r="G207" s="2" t="s">
        <v>15</v>
      </c>
      <c r="H207" s="1" t="s">
        <v>320</v>
      </c>
      <c r="I207" s="2" t="str">
        <f t="shared" ref="I207:J207" si="210">LEFT(F207,2)</f>
        <v>16</v>
      </c>
      <c r="J207" s="2" t="str">
        <f t="shared" si="210"/>
        <v>15</v>
      </c>
      <c r="K207" s="1">
        <f t="shared" si="1"/>
        <v>1</v>
      </c>
      <c r="M207" t="s">
        <v>18</v>
      </c>
      <c r="N207" t="s">
        <v>19</v>
      </c>
      <c r="O207" t="s">
        <v>321</v>
      </c>
    </row>
    <row r="208" spans="1:15" ht="14.25" customHeight="1">
      <c r="A208" s="5" t="str">
        <f t="shared" si="197"/>
        <v>497051</v>
      </c>
      <c r="B208" s="2" t="s">
        <v>379</v>
      </c>
      <c r="C208" s="1">
        <v>2510</v>
      </c>
      <c r="D208" s="1" t="s">
        <v>378</v>
      </c>
      <c r="E208" s="1">
        <v>1</v>
      </c>
      <c r="F208" s="1" t="s">
        <v>33</v>
      </c>
      <c r="G208" s="2" t="s">
        <v>15</v>
      </c>
      <c r="H208" s="1" t="s">
        <v>320</v>
      </c>
      <c r="I208" s="2" t="str">
        <f t="shared" ref="I208:J208" si="211">LEFT(F208,2)</f>
        <v>16</v>
      </c>
      <c r="J208" s="2" t="str">
        <f t="shared" si="211"/>
        <v>15</v>
      </c>
      <c r="K208" s="1">
        <f t="shared" si="1"/>
        <v>1</v>
      </c>
      <c r="M208" t="s">
        <v>18</v>
      </c>
      <c r="N208" t="s">
        <v>19</v>
      </c>
      <c r="O208" t="s">
        <v>321</v>
      </c>
    </row>
    <row r="209" spans="1:15" ht="14.25" customHeight="1">
      <c r="A209" s="5" t="str">
        <f t="shared" si="197"/>
        <v>497051</v>
      </c>
      <c r="B209" s="2" t="s">
        <v>380</v>
      </c>
      <c r="C209" s="1">
        <v>2510</v>
      </c>
      <c r="D209" s="1" t="s">
        <v>378</v>
      </c>
      <c r="E209" s="1">
        <v>2</v>
      </c>
      <c r="F209" s="1" t="s">
        <v>33</v>
      </c>
      <c r="G209" s="2" t="s">
        <v>15</v>
      </c>
      <c r="H209" s="1" t="s">
        <v>320</v>
      </c>
      <c r="I209" s="2" t="str">
        <f t="shared" ref="I209:J209" si="212">LEFT(F209,2)</f>
        <v>16</v>
      </c>
      <c r="J209" s="2" t="str">
        <f t="shared" si="212"/>
        <v>15</v>
      </c>
      <c r="K209" s="1">
        <f t="shared" si="1"/>
        <v>1</v>
      </c>
      <c r="M209" t="s">
        <v>18</v>
      </c>
      <c r="N209" t="s">
        <v>19</v>
      </c>
      <c r="O209" t="s">
        <v>321</v>
      </c>
    </row>
    <row r="210" spans="1:15" ht="14.25" customHeight="1">
      <c r="A210" s="5" t="str">
        <f t="shared" si="197"/>
        <v>500552</v>
      </c>
      <c r="B210" s="2" t="s">
        <v>381</v>
      </c>
      <c r="C210" s="1">
        <v>2510</v>
      </c>
      <c r="D210" s="1" t="s">
        <v>382</v>
      </c>
      <c r="E210" s="1">
        <v>6</v>
      </c>
      <c r="F210" s="1" t="s">
        <v>33</v>
      </c>
      <c r="G210" s="2" t="s">
        <v>15</v>
      </c>
      <c r="H210" s="1" t="s">
        <v>320</v>
      </c>
      <c r="I210" s="2" t="str">
        <f t="shared" ref="I210:J210" si="213">LEFT(F210,2)</f>
        <v>16</v>
      </c>
      <c r="J210" s="2" t="str">
        <f t="shared" si="213"/>
        <v>15</v>
      </c>
      <c r="K210" s="1">
        <f t="shared" si="1"/>
        <v>1</v>
      </c>
      <c r="M210" t="s">
        <v>18</v>
      </c>
      <c r="N210" t="s">
        <v>19</v>
      </c>
      <c r="O210" t="s">
        <v>321</v>
      </c>
    </row>
    <row r="211" spans="1:15" ht="14.25" customHeight="1">
      <c r="A211" s="5" t="str">
        <f t="shared" si="197"/>
        <v>500552</v>
      </c>
      <c r="B211" s="2" t="s">
        <v>383</v>
      </c>
      <c r="C211" s="1">
        <v>2510</v>
      </c>
      <c r="D211" s="1" t="s">
        <v>382</v>
      </c>
      <c r="E211" s="1">
        <v>4</v>
      </c>
      <c r="F211" s="1" t="s">
        <v>33</v>
      </c>
      <c r="G211" s="2" t="s">
        <v>15</v>
      </c>
      <c r="H211" s="1" t="s">
        <v>320</v>
      </c>
      <c r="I211" s="2" t="str">
        <f t="shared" ref="I211:J211" si="214">LEFT(F211,2)</f>
        <v>16</v>
      </c>
      <c r="J211" s="2" t="str">
        <f t="shared" si="214"/>
        <v>15</v>
      </c>
      <c r="K211" s="1">
        <f t="shared" si="1"/>
        <v>1</v>
      </c>
      <c r="M211" t="s">
        <v>18</v>
      </c>
      <c r="N211" t="s">
        <v>19</v>
      </c>
      <c r="O211" t="s">
        <v>321</v>
      </c>
    </row>
    <row r="212" spans="1:15" ht="14.25" customHeight="1">
      <c r="A212" s="5" t="str">
        <f t="shared" si="197"/>
        <v>500552</v>
      </c>
      <c r="B212" s="2" t="s">
        <v>384</v>
      </c>
      <c r="C212" s="1">
        <v>2510</v>
      </c>
      <c r="D212" s="1" t="s">
        <v>382</v>
      </c>
      <c r="E212" s="1">
        <v>2</v>
      </c>
      <c r="F212" s="1" t="s">
        <v>33</v>
      </c>
      <c r="G212" s="2" t="s">
        <v>15</v>
      </c>
      <c r="H212" s="1" t="s">
        <v>320</v>
      </c>
      <c r="I212" s="2" t="str">
        <f t="shared" ref="I212:J212" si="215">LEFT(F212,2)</f>
        <v>16</v>
      </c>
      <c r="J212" s="2" t="str">
        <f t="shared" si="215"/>
        <v>15</v>
      </c>
      <c r="K212" s="1">
        <f t="shared" si="1"/>
        <v>1</v>
      </c>
      <c r="M212" t="s">
        <v>18</v>
      </c>
      <c r="N212" t="s">
        <v>19</v>
      </c>
      <c r="O212" t="s">
        <v>321</v>
      </c>
    </row>
    <row r="213" spans="1:15" ht="14.25" customHeight="1">
      <c r="A213" s="5" t="str">
        <f t="shared" si="197"/>
        <v>500552</v>
      </c>
      <c r="B213" s="2" t="s">
        <v>385</v>
      </c>
      <c r="C213" s="1">
        <v>2510</v>
      </c>
      <c r="D213" s="1" t="s">
        <v>382</v>
      </c>
      <c r="E213" s="1">
        <v>6</v>
      </c>
      <c r="F213" s="1" t="s">
        <v>33</v>
      </c>
      <c r="G213" s="2" t="s">
        <v>15</v>
      </c>
      <c r="H213" s="1" t="s">
        <v>320</v>
      </c>
      <c r="I213" s="2" t="str">
        <f t="shared" ref="I213:J213" si="216">LEFT(F213,2)</f>
        <v>16</v>
      </c>
      <c r="J213" s="2" t="str">
        <f t="shared" si="216"/>
        <v>15</v>
      </c>
      <c r="K213" s="1">
        <f t="shared" si="1"/>
        <v>1</v>
      </c>
      <c r="M213" t="s">
        <v>18</v>
      </c>
      <c r="N213" t="s">
        <v>19</v>
      </c>
      <c r="O213" t="s">
        <v>321</v>
      </c>
    </row>
    <row r="214" spans="1:15" ht="14.25" customHeight="1">
      <c r="A214" s="5" t="str">
        <f t="shared" si="197"/>
        <v>500577</v>
      </c>
      <c r="B214" s="2" t="s">
        <v>386</v>
      </c>
      <c r="C214" s="1">
        <v>2510</v>
      </c>
      <c r="D214" s="1" t="s">
        <v>387</v>
      </c>
      <c r="E214" s="1">
        <v>4</v>
      </c>
      <c r="F214" s="1" t="s">
        <v>33</v>
      </c>
      <c r="G214" s="2" t="s">
        <v>15</v>
      </c>
      <c r="H214" s="1" t="s">
        <v>320</v>
      </c>
      <c r="I214" s="2" t="str">
        <f t="shared" ref="I214:J214" si="217">LEFT(F214,2)</f>
        <v>16</v>
      </c>
      <c r="J214" s="2" t="str">
        <f t="shared" si="217"/>
        <v>15</v>
      </c>
      <c r="K214" s="1">
        <f t="shared" si="1"/>
        <v>1</v>
      </c>
      <c r="M214" t="s">
        <v>18</v>
      </c>
      <c r="N214" t="s">
        <v>19</v>
      </c>
      <c r="O214" t="s">
        <v>321</v>
      </c>
    </row>
    <row r="215" spans="1:15" ht="14.25" customHeight="1">
      <c r="A215" s="5" t="str">
        <f t="shared" si="197"/>
        <v>500577</v>
      </c>
      <c r="B215" s="2" t="s">
        <v>388</v>
      </c>
      <c r="C215" s="1">
        <v>2510</v>
      </c>
      <c r="D215" s="1" t="s">
        <v>387</v>
      </c>
      <c r="E215" s="1">
        <v>6</v>
      </c>
      <c r="F215" s="1" t="s">
        <v>33</v>
      </c>
      <c r="G215" s="2" t="s">
        <v>15</v>
      </c>
      <c r="H215" s="1" t="s">
        <v>320</v>
      </c>
      <c r="I215" s="2" t="str">
        <f t="shared" ref="I215:J215" si="218">LEFT(F215,2)</f>
        <v>16</v>
      </c>
      <c r="J215" s="2" t="str">
        <f t="shared" si="218"/>
        <v>15</v>
      </c>
      <c r="K215" s="1">
        <f t="shared" si="1"/>
        <v>1</v>
      </c>
      <c r="M215" t="s">
        <v>18</v>
      </c>
      <c r="N215" t="s">
        <v>19</v>
      </c>
      <c r="O215" t="s">
        <v>321</v>
      </c>
    </row>
    <row r="216" spans="1:15" ht="14.25" customHeight="1">
      <c r="A216" s="5" t="str">
        <f t="shared" si="197"/>
        <v>500577</v>
      </c>
      <c r="B216" s="2" t="s">
        <v>389</v>
      </c>
      <c r="C216" s="1">
        <v>2510</v>
      </c>
      <c r="D216" s="1" t="s">
        <v>387</v>
      </c>
      <c r="E216" s="1">
        <v>12</v>
      </c>
      <c r="F216" s="1" t="s">
        <v>33</v>
      </c>
      <c r="G216" s="2" t="s">
        <v>15</v>
      </c>
      <c r="H216" s="1" t="s">
        <v>320</v>
      </c>
      <c r="I216" s="2" t="str">
        <f t="shared" ref="I216:J216" si="219">LEFT(F216,2)</f>
        <v>16</v>
      </c>
      <c r="J216" s="2" t="str">
        <f t="shared" si="219"/>
        <v>15</v>
      </c>
      <c r="K216" s="1">
        <f t="shared" si="1"/>
        <v>1</v>
      </c>
      <c r="M216" t="s">
        <v>18</v>
      </c>
      <c r="N216" t="s">
        <v>19</v>
      </c>
      <c r="O216" t="s">
        <v>321</v>
      </c>
    </row>
    <row r="217" spans="1:15" ht="14.25" customHeight="1">
      <c r="A217" s="5" t="str">
        <f t="shared" si="197"/>
        <v>507050</v>
      </c>
      <c r="B217" s="2" t="s">
        <v>390</v>
      </c>
      <c r="C217" s="1">
        <v>2507</v>
      </c>
      <c r="D217" s="1" t="s">
        <v>391</v>
      </c>
      <c r="E217" s="1">
        <v>2</v>
      </c>
      <c r="F217" s="1" t="s">
        <v>33</v>
      </c>
      <c r="G217" s="2" t="s">
        <v>15</v>
      </c>
      <c r="H217" s="1" t="s">
        <v>320</v>
      </c>
      <c r="I217" s="2" t="str">
        <f t="shared" ref="I217:J217" si="220">LEFT(F217,2)</f>
        <v>16</v>
      </c>
      <c r="J217" s="2" t="str">
        <f t="shared" si="220"/>
        <v>15</v>
      </c>
      <c r="K217" s="1">
        <f t="shared" si="1"/>
        <v>1</v>
      </c>
      <c r="M217" t="s">
        <v>18</v>
      </c>
      <c r="N217" t="s">
        <v>19</v>
      </c>
      <c r="O217" t="s">
        <v>321</v>
      </c>
    </row>
    <row r="218" spans="1:15" ht="14.25" customHeight="1">
      <c r="A218" s="5" t="str">
        <f t="shared" si="197"/>
        <v>507050</v>
      </c>
      <c r="B218" s="2" t="s">
        <v>392</v>
      </c>
      <c r="C218" s="1">
        <v>2507</v>
      </c>
      <c r="D218" s="1" t="s">
        <v>391</v>
      </c>
      <c r="E218" s="1">
        <v>2</v>
      </c>
      <c r="F218" s="1" t="s">
        <v>33</v>
      </c>
      <c r="G218" s="2" t="s">
        <v>15</v>
      </c>
      <c r="H218" s="1" t="s">
        <v>320</v>
      </c>
      <c r="I218" s="2" t="str">
        <f t="shared" ref="I218:J218" si="221">LEFT(F218,2)</f>
        <v>16</v>
      </c>
      <c r="J218" s="2" t="str">
        <f t="shared" si="221"/>
        <v>15</v>
      </c>
      <c r="K218" s="1">
        <f t="shared" si="1"/>
        <v>1</v>
      </c>
      <c r="M218" t="s">
        <v>18</v>
      </c>
      <c r="N218" t="s">
        <v>19</v>
      </c>
      <c r="O218" t="s">
        <v>321</v>
      </c>
    </row>
    <row r="219" spans="1:15" ht="14.25" customHeight="1">
      <c r="A219" s="5" t="str">
        <f t="shared" si="197"/>
        <v>507974</v>
      </c>
      <c r="B219" s="2" t="s">
        <v>393</v>
      </c>
      <c r="C219" s="1">
        <v>2507</v>
      </c>
      <c r="D219" s="1" t="s">
        <v>394</v>
      </c>
      <c r="E219" s="1">
        <v>10</v>
      </c>
      <c r="F219" s="1" t="s">
        <v>33</v>
      </c>
      <c r="G219" s="2" t="s">
        <v>15</v>
      </c>
      <c r="H219" s="1" t="s">
        <v>320</v>
      </c>
      <c r="I219" s="2" t="str">
        <f t="shared" ref="I219:J219" si="222">LEFT(F219,2)</f>
        <v>16</v>
      </c>
      <c r="J219" s="2" t="str">
        <f t="shared" si="222"/>
        <v>15</v>
      </c>
      <c r="K219" s="1">
        <f t="shared" si="1"/>
        <v>1</v>
      </c>
      <c r="M219" t="s">
        <v>18</v>
      </c>
      <c r="N219" t="s">
        <v>19</v>
      </c>
      <c r="O219" t="s">
        <v>321</v>
      </c>
    </row>
    <row r="220" spans="1:15" ht="14.25" customHeight="1">
      <c r="A220" s="5" t="str">
        <f t="shared" si="197"/>
        <v>511324</v>
      </c>
      <c r="B220" s="2" t="s">
        <v>395</v>
      </c>
      <c r="C220" s="1">
        <v>2510</v>
      </c>
      <c r="D220" s="1" t="s">
        <v>331</v>
      </c>
      <c r="E220" s="1">
        <v>3</v>
      </c>
      <c r="F220" s="1" t="s">
        <v>33</v>
      </c>
      <c r="G220" s="2" t="s">
        <v>23</v>
      </c>
      <c r="H220" s="1" t="s">
        <v>320</v>
      </c>
      <c r="I220" s="2" t="str">
        <f t="shared" ref="I220:J220" si="223">LEFT(F220,2)</f>
        <v>16</v>
      </c>
      <c r="J220" s="2" t="str">
        <f t="shared" si="223"/>
        <v>14</v>
      </c>
      <c r="K220" s="1">
        <f t="shared" si="1"/>
        <v>2</v>
      </c>
      <c r="M220" t="s">
        <v>18</v>
      </c>
      <c r="N220" t="s">
        <v>19</v>
      </c>
      <c r="O220" t="s">
        <v>321</v>
      </c>
    </row>
    <row r="221" spans="1:15" ht="14.25" customHeight="1">
      <c r="A221" s="5" t="str">
        <f t="shared" si="197"/>
        <v>511324</v>
      </c>
      <c r="B221" s="2" t="s">
        <v>396</v>
      </c>
      <c r="C221" s="1">
        <v>2510</v>
      </c>
      <c r="D221" s="1" t="s">
        <v>331</v>
      </c>
      <c r="E221" s="1">
        <v>3</v>
      </c>
      <c r="F221" s="1" t="s">
        <v>33</v>
      </c>
      <c r="G221" s="2" t="s">
        <v>23</v>
      </c>
      <c r="H221" s="1" t="s">
        <v>320</v>
      </c>
      <c r="I221" s="2" t="str">
        <f t="shared" ref="I221:J221" si="224">LEFT(F221,2)</f>
        <v>16</v>
      </c>
      <c r="J221" s="2" t="str">
        <f t="shared" si="224"/>
        <v>14</v>
      </c>
      <c r="K221" s="1">
        <f t="shared" si="1"/>
        <v>2</v>
      </c>
      <c r="M221" t="s">
        <v>18</v>
      </c>
      <c r="N221" t="s">
        <v>19</v>
      </c>
      <c r="O221" t="s">
        <v>321</v>
      </c>
    </row>
    <row r="222" spans="1:15" ht="14.25" customHeight="1">
      <c r="A222" s="5" t="str">
        <f t="shared" si="197"/>
        <v>536793</v>
      </c>
      <c r="B222" s="2" t="s">
        <v>397</v>
      </c>
      <c r="C222" s="1">
        <v>2510</v>
      </c>
      <c r="D222" s="1" t="s">
        <v>398</v>
      </c>
      <c r="E222" s="1">
        <v>5</v>
      </c>
      <c r="F222" s="1" t="s">
        <v>33</v>
      </c>
      <c r="G222" s="2" t="s">
        <v>15</v>
      </c>
      <c r="H222" s="1" t="s">
        <v>320</v>
      </c>
      <c r="I222" s="2" t="str">
        <f t="shared" ref="I222:J222" si="225">LEFT(F222,2)</f>
        <v>16</v>
      </c>
      <c r="J222" s="2" t="str">
        <f t="shared" si="225"/>
        <v>15</v>
      </c>
      <c r="K222" s="1">
        <f t="shared" si="1"/>
        <v>1</v>
      </c>
      <c r="M222" t="s">
        <v>27</v>
      </c>
      <c r="N222" t="s">
        <v>19</v>
      </c>
      <c r="O222" t="s">
        <v>321</v>
      </c>
    </row>
    <row r="223" spans="1:15" ht="14.25" customHeight="1">
      <c r="A223" s="5" t="str">
        <f t="shared" si="197"/>
        <v>536793</v>
      </c>
      <c r="B223" s="2" t="s">
        <v>399</v>
      </c>
      <c r="C223" s="1">
        <v>2510</v>
      </c>
      <c r="D223" s="1" t="s">
        <v>398</v>
      </c>
      <c r="E223" s="1">
        <v>9</v>
      </c>
      <c r="F223" s="1" t="s">
        <v>33</v>
      </c>
      <c r="G223" s="2" t="s">
        <v>15</v>
      </c>
      <c r="H223" s="1" t="s">
        <v>320</v>
      </c>
      <c r="I223" s="2" t="str">
        <f t="shared" ref="I223:J223" si="226">LEFT(F223,2)</f>
        <v>16</v>
      </c>
      <c r="J223" s="2" t="str">
        <f t="shared" si="226"/>
        <v>15</v>
      </c>
      <c r="K223" s="1">
        <f t="shared" si="1"/>
        <v>1</v>
      </c>
      <c r="M223" t="s">
        <v>27</v>
      </c>
      <c r="N223" t="s">
        <v>19</v>
      </c>
      <c r="O223" t="s">
        <v>321</v>
      </c>
    </row>
    <row r="224" spans="1:15" ht="14.25" customHeight="1">
      <c r="A224" s="5" t="str">
        <f t="shared" si="197"/>
        <v>536793</v>
      </c>
      <c r="B224" s="2" t="s">
        <v>400</v>
      </c>
      <c r="C224" s="1">
        <v>2510</v>
      </c>
      <c r="D224" s="1" t="s">
        <v>398</v>
      </c>
      <c r="E224" s="1">
        <v>16</v>
      </c>
      <c r="F224" s="1" t="s">
        <v>33</v>
      </c>
      <c r="G224" s="2" t="s">
        <v>15</v>
      </c>
      <c r="H224" s="1" t="s">
        <v>320</v>
      </c>
      <c r="I224" s="2" t="str">
        <f t="shared" ref="I224:J224" si="227">LEFT(F224,2)</f>
        <v>16</v>
      </c>
      <c r="J224" s="2" t="str">
        <f t="shared" si="227"/>
        <v>15</v>
      </c>
      <c r="K224" s="1">
        <f t="shared" si="1"/>
        <v>1</v>
      </c>
      <c r="M224" t="s">
        <v>27</v>
      </c>
      <c r="N224" t="s">
        <v>19</v>
      </c>
      <c r="O224" t="s">
        <v>321</v>
      </c>
    </row>
    <row r="225" spans="1:15" ht="14.25" customHeight="1">
      <c r="A225" s="5" t="str">
        <f t="shared" si="197"/>
        <v>500096</v>
      </c>
      <c r="B225" s="2" t="s">
        <v>401</v>
      </c>
      <c r="C225" s="1">
        <v>2510</v>
      </c>
      <c r="D225" s="1" t="s">
        <v>402</v>
      </c>
      <c r="E225" s="1">
        <v>16</v>
      </c>
      <c r="F225" s="1" t="s">
        <v>204</v>
      </c>
      <c r="G225" s="2" t="s">
        <v>150</v>
      </c>
      <c r="H225" s="1" t="s">
        <v>320</v>
      </c>
      <c r="I225" s="2" t="str">
        <f t="shared" ref="I225:J225" si="228">LEFT(F225,2)</f>
        <v>25</v>
      </c>
      <c r="J225" s="2" t="str">
        <f t="shared" si="228"/>
        <v>24</v>
      </c>
      <c r="K225" s="1">
        <f t="shared" si="1"/>
        <v>1</v>
      </c>
      <c r="M225" t="s">
        <v>18</v>
      </c>
      <c r="N225" t="s">
        <v>19</v>
      </c>
      <c r="O225" t="s">
        <v>321</v>
      </c>
    </row>
    <row r="226" spans="1:15" ht="14.25" customHeight="1">
      <c r="A226" s="5" t="str">
        <f t="shared" si="197"/>
        <v>494848</v>
      </c>
      <c r="B226" s="2" t="s">
        <v>403</v>
      </c>
      <c r="C226" s="1">
        <v>2510</v>
      </c>
      <c r="D226" s="1" t="s">
        <v>371</v>
      </c>
      <c r="E226" s="1">
        <v>2</v>
      </c>
      <c r="F226" s="1" t="s">
        <v>64</v>
      </c>
      <c r="G226" s="2" t="s">
        <v>23</v>
      </c>
      <c r="H226" s="1" t="s">
        <v>320</v>
      </c>
      <c r="I226" s="2" t="str">
        <f t="shared" ref="I226:J226" si="229">LEFT(F226,2)</f>
        <v>17</v>
      </c>
      <c r="J226" s="2" t="str">
        <f t="shared" si="229"/>
        <v>14</v>
      </c>
      <c r="K226" s="1">
        <f t="shared" si="1"/>
        <v>3</v>
      </c>
      <c r="M226" t="s">
        <v>27</v>
      </c>
      <c r="N226" t="s">
        <v>19</v>
      </c>
      <c r="O226" t="s">
        <v>321</v>
      </c>
    </row>
    <row r="227" spans="1:15" ht="14.25" customHeight="1">
      <c r="A227" s="5" t="str">
        <f t="shared" si="197"/>
        <v>496180</v>
      </c>
      <c r="B227" s="2" t="s">
        <v>404</v>
      </c>
      <c r="C227" s="1">
        <v>2510</v>
      </c>
      <c r="D227" s="1" t="s">
        <v>405</v>
      </c>
      <c r="E227" s="1">
        <v>24</v>
      </c>
      <c r="F227" s="1" t="s">
        <v>64</v>
      </c>
      <c r="G227" s="2" t="s">
        <v>33</v>
      </c>
      <c r="H227" s="1" t="s">
        <v>320</v>
      </c>
      <c r="I227" s="2" t="str">
        <f t="shared" ref="I227:J227" si="230">LEFT(F227,2)</f>
        <v>17</v>
      </c>
      <c r="J227" s="2" t="str">
        <f t="shared" si="230"/>
        <v>16</v>
      </c>
      <c r="K227" s="1">
        <f t="shared" si="1"/>
        <v>1</v>
      </c>
      <c r="M227" t="s">
        <v>18</v>
      </c>
      <c r="N227" t="s">
        <v>19</v>
      </c>
      <c r="O227" t="s">
        <v>321</v>
      </c>
    </row>
    <row r="228" spans="1:15" ht="14.25" customHeight="1">
      <c r="A228" s="5" t="str">
        <f t="shared" si="197"/>
        <v>496180</v>
      </c>
      <c r="B228" s="2" t="s">
        <v>406</v>
      </c>
      <c r="C228" s="1">
        <v>2510</v>
      </c>
      <c r="D228" s="1" t="s">
        <v>405</v>
      </c>
      <c r="E228" s="1">
        <v>14</v>
      </c>
      <c r="F228" s="1" t="s">
        <v>64</v>
      </c>
      <c r="G228" s="2" t="s">
        <v>33</v>
      </c>
      <c r="H228" s="1" t="s">
        <v>320</v>
      </c>
      <c r="I228" s="2" t="str">
        <f t="shared" ref="I228:J228" si="231">LEFT(F228,2)</f>
        <v>17</v>
      </c>
      <c r="J228" s="2" t="str">
        <f t="shared" si="231"/>
        <v>16</v>
      </c>
      <c r="K228" s="1">
        <f t="shared" si="1"/>
        <v>1</v>
      </c>
      <c r="M228" t="s">
        <v>18</v>
      </c>
      <c r="N228" t="s">
        <v>19</v>
      </c>
      <c r="O228" t="s">
        <v>321</v>
      </c>
    </row>
    <row r="229" spans="1:15" ht="14.25" customHeight="1">
      <c r="A229" s="5" t="str">
        <f t="shared" si="197"/>
        <v>496180</v>
      </c>
      <c r="B229" s="2" t="s">
        <v>407</v>
      </c>
      <c r="C229" s="1">
        <v>2510</v>
      </c>
      <c r="D229" s="1" t="s">
        <v>405</v>
      </c>
      <c r="E229" s="1">
        <v>24</v>
      </c>
      <c r="F229" s="1" t="s">
        <v>64</v>
      </c>
      <c r="G229" s="2" t="s">
        <v>33</v>
      </c>
      <c r="H229" s="1" t="s">
        <v>320</v>
      </c>
      <c r="I229" s="2" t="str">
        <f t="shared" ref="I229:J229" si="232">LEFT(F229,2)</f>
        <v>17</v>
      </c>
      <c r="J229" s="2" t="str">
        <f t="shared" si="232"/>
        <v>16</v>
      </c>
      <c r="K229" s="1">
        <f t="shared" si="1"/>
        <v>1</v>
      </c>
      <c r="M229" t="s">
        <v>18</v>
      </c>
      <c r="N229" t="s">
        <v>19</v>
      </c>
      <c r="O229" t="s">
        <v>321</v>
      </c>
    </row>
    <row r="230" spans="1:15" ht="14.25" customHeight="1">
      <c r="A230" s="5" t="str">
        <f t="shared" si="197"/>
        <v>496180</v>
      </c>
      <c r="B230" s="2" t="s">
        <v>408</v>
      </c>
      <c r="C230" s="1">
        <v>2510</v>
      </c>
      <c r="D230" s="1" t="s">
        <v>405</v>
      </c>
      <c r="E230" s="1">
        <v>4</v>
      </c>
      <c r="F230" s="1" t="s">
        <v>64</v>
      </c>
      <c r="G230" s="2" t="s">
        <v>33</v>
      </c>
      <c r="H230" s="1" t="s">
        <v>320</v>
      </c>
      <c r="I230" s="2" t="str">
        <f t="shared" ref="I230:J230" si="233">LEFT(F230,2)</f>
        <v>17</v>
      </c>
      <c r="J230" s="2" t="str">
        <f t="shared" si="233"/>
        <v>16</v>
      </c>
      <c r="K230" s="1">
        <f t="shared" si="1"/>
        <v>1</v>
      </c>
      <c r="M230" t="s">
        <v>18</v>
      </c>
      <c r="N230" t="s">
        <v>19</v>
      </c>
      <c r="O230" t="s">
        <v>321</v>
      </c>
    </row>
    <row r="231" spans="1:15" ht="14.25" customHeight="1">
      <c r="A231" s="5" t="str">
        <f t="shared" si="197"/>
        <v>508652</v>
      </c>
      <c r="B231" s="2" t="s">
        <v>409</v>
      </c>
      <c r="C231" s="1">
        <v>2507</v>
      </c>
      <c r="D231" s="1" t="s">
        <v>410</v>
      </c>
      <c r="E231" s="1">
        <v>3</v>
      </c>
      <c r="F231" s="1" t="s">
        <v>100</v>
      </c>
      <c r="G231" s="2" t="s">
        <v>33</v>
      </c>
      <c r="H231" s="1" t="s">
        <v>320</v>
      </c>
      <c r="I231" s="2" t="str">
        <f t="shared" ref="I231:J231" si="234">LEFT(F231,2)</f>
        <v>19</v>
      </c>
      <c r="J231" s="2" t="str">
        <f t="shared" si="234"/>
        <v>16</v>
      </c>
      <c r="K231" s="1">
        <f t="shared" si="1"/>
        <v>3</v>
      </c>
      <c r="M231" t="s">
        <v>27</v>
      </c>
      <c r="N231" t="s">
        <v>19</v>
      </c>
      <c r="O231" t="s">
        <v>321</v>
      </c>
    </row>
    <row r="232" spans="1:15" ht="14.25" customHeight="1">
      <c r="A232" s="5" t="str">
        <f t="shared" si="197"/>
        <v>500552</v>
      </c>
      <c r="B232" s="2" t="s">
        <v>411</v>
      </c>
      <c r="C232" s="1">
        <v>2510</v>
      </c>
      <c r="D232" s="1" t="s">
        <v>382</v>
      </c>
      <c r="E232" s="1">
        <v>16</v>
      </c>
      <c r="F232" s="1" t="s">
        <v>64</v>
      </c>
      <c r="G232" s="2" t="s">
        <v>15</v>
      </c>
      <c r="H232" s="1" t="s">
        <v>320</v>
      </c>
      <c r="I232" s="2" t="str">
        <f t="shared" ref="I232:J232" si="235">LEFT(F232,2)</f>
        <v>17</v>
      </c>
      <c r="J232" s="2" t="str">
        <f t="shared" si="235"/>
        <v>15</v>
      </c>
      <c r="K232" s="1">
        <f t="shared" si="1"/>
        <v>2</v>
      </c>
      <c r="M232" t="s">
        <v>18</v>
      </c>
      <c r="N232" t="s">
        <v>19</v>
      </c>
      <c r="O232" t="s">
        <v>321</v>
      </c>
    </row>
    <row r="233" spans="1:15" ht="14.25" customHeight="1">
      <c r="A233" s="5" t="str">
        <f t="shared" si="197"/>
        <v>516901</v>
      </c>
      <c r="B233" s="2" t="s">
        <v>412</v>
      </c>
      <c r="C233" s="1">
        <v>2510</v>
      </c>
      <c r="D233" s="1" t="s">
        <v>413</v>
      </c>
      <c r="E233" s="1">
        <v>4</v>
      </c>
      <c r="F233" s="1" t="s">
        <v>64</v>
      </c>
      <c r="G233" s="2" t="s">
        <v>33</v>
      </c>
      <c r="H233" s="1" t="s">
        <v>320</v>
      </c>
      <c r="I233" s="2" t="str">
        <f t="shared" ref="I233:J233" si="236">LEFT(F233,2)</f>
        <v>17</v>
      </c>
      <c r="J233" s="2" t="str">
        <f t="shared" si="236"/>
        <v>16</v>
      </c>
      <c r="K233" s="1">
        <f t="shared" si="1"/>
        <v>1</v>
      </c>
      <c r="M233" t="s">
        <v>18</v>
      </c>
      <c r="N233" t="s">
        <v>19</v>
      </c>
      <c r="O233" t="s">
        <v>321</v>
      </c>
    </row>
    <row r="234" spans="1:15" ht="14.25" customHeight="1">
      <c r="A234" s="5" t="str">
        <f t="shared" si="197"/>
        <v>516901</v>
      </c>
      <c r="B234" s="2" t="s">
        <v>414</v>
      </c>
      <c r="C234" s="1">
        <v>2510</v>
      </c>
      <c r="D234" s="1" t="s">
        <v>413</v>
      </c>
      <c r="E234" s="1">
        <v>2</v>
      </c>
      <c r="F234" s="1" t="s">
        <v>64</v>
      </c>
      <c r="G234" s="2" t="s">
        <v>33</v>
      </c>
      <c r="H234" s="1" t="s">
        <v>320</v>
      </c>
      <c r="I234" s="2" t="str">
        <f t="shared" ref="I234:J234" si="237">LEFT(F234,2)</f>
        <v>17</v>
      </c>
      <c r="J234" s="2" t="str">
        <f t="shared" si="237"/>
        <v>16</v>
      </c>
      <c r="K234" s="1">
        <f t="shared" si="1"/>
        <v>1</v>
      </c>
      <c r="M234" t="s">
        <v>18</v>
      </c>
      <c r="N234" t="s">
        <v>19</v>
      </c>
      <c r="O234" t="s">
        <v>321</v>
      </c>
    </row>
    <row r="235" spans="1:15" ht="14.25" customHeight="1">
      <c r="A235" s="5" t="str">
        <f t="shared" si="197"/>
        <v>494829</v>
      </c>
      <c r="B235" s="2" t="s">
        <v>415</v>
      </c>
      <c r="C235" s="1">
        <v>2504</v>
      </c>
      <c r="D235" s="1" t="s">
        <v>416</v>
      </c>
      <c r="E235" s="1">
        <v>3</v>
      </c>
      <c r="F235" s="1" t="s">
        <v>81</v>
      </c>
      <c r="G235" s="2" t="s">
        <v>33</v>
      </c>
      <c r="H235" s="1" t="s">
        <v>320</v>
      </c>
      <c r="I235" s="2" t="str">
        <f t="shared" ref="I235:J235" si="238">LEFT(F235,2)</f>
        <v>18</v>
      </c>
      <c r="J235" s="2" t="str">
        <f t="shared" si="238"/>
        <v>16</v>
      </c>
      <c r="K235" s="1">
        <f t="shared" si="1"/>
        <v>2</v>
      </c>
      <c r="M235" t="s">
        <v>18</v>
      </c>
      <c r="N235" t="s">
        <v>19</v>
      </c>
      <c r="O235" t="s">
        <v>321</v>
      </c>
    </row>
    <row r="236" spans="1:15" ht="14.25" customHeight="1">
      <c r="A236" s="5" t="str">
        <f t="shared" si="197"/>
        <v>504796</v>
      </c>
      <c r="B236" s="2" t="s">
        <v>417</v>
      </c>
      <c r="C236" s="1">
        <v>2510</v>
      </c>
      <c r="D236" s="1" t="s">
        <v>323</v>
      </c>
      <c r="E236" s="1">
        <v>12</v>
      </c>
      <c r="F236" s="1" t="s">
        <v>81</v>
      </c>
      <c r="G236" s="2" t="s">
        <v>23</v>
      </c>
      <c r="H236" s="1" t="s">
        <v>320</v>
      </c>
      <c r="I236" s="2" t="str">
        <f t="shared" ref="I236:J236" si="239">LEFT(F236,2)</f>
        <v>18</v>
      </c>
      <c r="J236" s="2" t="str">
        <f t="shared" si="239"/>
        <v>14</v>
      </c>
      <c r="K236" s="1">
        <f t="shared" si="1"/>
        <v>4</v>
      </c>
      <c r="M236" t="s">
        <v>18</v>
      </c>
      <c r="N236" t="s">
        <v>19</v>
      </c>
      <c r="O236" t="s">
        <v>321</v>
      </c>
    </row>
    <row r="237" spans="1:15" ht="14.25" customHeight="1">
      <c r="A237" s="5" t="str">
        <f t="shared" si="197"/>
        <v>511324</v>
      </c>
      <c r="B237" s="2" t="s">
        <v>418</v>
      </c>
      <c r="C237" s="1">
        <v>2510</v>
      </c>
      <c r="D237" s="1" t="s">
        <v>331</v>
      </c>
      <c r="E237" s="1">
        <v>5</v>
      </c>
      <c r="F237" s="1" t="s">
        <v>81</v>
      </c>
      <c r="G237" s="2" t="s">
        <v>23</v>
      </c>
      <c r="H237" s="1" t="s">
        <v>320</v>
      </c>
      <c r="I237" s="2" t="str">
        <f t="shared" ref="I237:J237" si="240">LEFT(F237,2)</f>
        <v>18</v>
      </c>
      <c r="J237" s="2" t="str">
        <f t="shared" si="240"/>
        <v>14</v>
      </c>
      <c r="K237" s="1">
        <f t="shared" si="1"/>
        <v>4</v>
      </c>
      <c r="M237" t="s">
        <v>18</v>
      </c>
      <c r="N237" t="s">
        <v>19</v>
      </c>
      <c r="O237" t="s">
        <v>321</v>
      </c>
    </row>
    <row r="238" spans="1:15" ht="14.25" customHeight="1">
      <c r="A238" s="5" t="str">
        <f t="shared" si="197"/>
        <v>512396</v>
      </c>
      <c r="B238" s="2" t="s">
        <v>419</v>
      </c>
      <c r="C238" s="1">
        <v>2510</v>
      </c>
      <c r="D238" s="1" t="s">
        <v>420</v>
      </c>
      <c r="E238" s="1">
        <v>4</v>
      </c>
      <c r="F238" s="1" t="s">
        <v>81</v>
      </c>
      <c r="G238" s="2" t="s">
        <v>64</v>
      </c>
      <c r="H238" s="1" t="s">
        <v>320</v>
      </c>
      <c r="I238" s="2" t="str">
        <f t="shared" ref="I238:J238" si="241">LEFT(F238,2)</f>
        <v>18</v>
      </c>
      <c r="J238" s="2" t="str">
        <f t="shared" si="241"/>
        <v>17</v>
      </c>
      <c r="K238" s="1">
        <f t="shared" si="1"/>
        <v>1</v>
      </c>
      <c r="M238" t="s">
        <v>27</v>
      </c>
      <c r="N238" t="s">
        <v>19</v>
      </c>
      <c r="O238" t="s">
        <v>321</v>
      </c>
    </row>
    <row r="239" spans="1:15" ht="14.25" customHeight="1">
      <c r="A239" s="5" t="str">
        <f t="shared" si="197"/>
        <v>512396</v>
      </c>
      <c r="B239" s="2" t="s">
        <v>421</v>
      </c>
      <c r="C239" s="1">
        <v>2510</v>
      </c>
      <c r="D239" s="1" t="s">
        <v>420</v>
      </c>
      <c r="E239" s="1">
        <v>2</v>
      </c>
      <c r="F239" s="1" t="s">
        <v>81</v>
      </c>
      <c r="G239" s="2" t="s">
        <v>64</v>
      </c>
      <c r="H239" s="1" t="s">
        <v>320</v>
      </c>
      <c r="I239" s="2" t="str">
        <f t="shared" ref="I239:J239" si="242">LEFT(F239,2)</f>
        <v>18</v>
      </c>
      <c r="J239" s="2" t="str">
        <f t="shared" si="242"/>
        <v>17</v>
      </c>
      <c r="K239" s="1">
        <f t="shared" si="1"/>
        <v>1</v>
      </c>
      <c r="M239" t="s">
        <v>27</v>
      </c>
      <c r="N239" t="s">
        <v>19</v>
      </c>
      <c r="O239" t="s">
        <v>321</v>
      </c>
    </row>
    <row r="240" spans="1:15" ht="14.25" customHeight="1">
      <c r="A240" s="5" t="str">
        <f t="shared" si="197"/>
        <v>512396</v>
      </c>
      <c r="B240" s="2" t="s">
        <v>422</v>
      </c>
      <c r="C240" s="1">
        <v>2510</v>
      </c>
      <c r="D240" s="1" t="s">
        <v>420</v>
      </c>
      <c r="E240" s="1">
        <v>2</v>
      </c>
      <c r="F240" s="1" t="s">
        <v>81</v>
      </c>
      <c r="G240" s="2" t="s">
        <v>64</v>
      </c>
      <c r="H240" s="1" t="s">
        <v>320</v>
      </c>
      <c r="I240" s="2" t="str">
        <f t="shared" ref="I240:J240" si="243">LEFT(F240,2)</f>
        <v>18</v>
      </c>
      <c r="J240" s="2" t="str">
        <f t="shared" si="243"/>
        <v>17</v>
      </c>
      <c r="K240" s="1">
        <f t="shared" si="1"/>
        <v>1</v>
      </c>
      <c r="M240" t="s">
        <v>27</v>
      </c>
      <c r="N240" t="s">
        <v>19</v>
      </c>
      <c r="O240" t="s">
        <v>321</v>
      </c>
    </row>
    <row r="241" spans="1:15" ht="14.25" customHeight="1">
      <c r="A241" s="5" t="str">
        <f t="shared" si="197"/>
        <v>514717</v>
      </c>
      <c r="B241" s="2" t="s">
        <v>423</v>
      </c>
      <c r="C241" s="1">
        <v>2510</v>
      </c>
      <c r="D241" s="1" t="s">
        <v>424</v>
      </c>
      <c r="E241" s="1">
        <v>2</v>
      </c>
      <c r="F241" s="1" t="s">
        <v>81</v>
      </c>
      <c r="G241" s="2" t="s">
        <v>64</v>
      </c>
      <c r="H241" s="1" t="s">
        <v>320</v>
      </c>
      <c r="I241" s="2" t="str">
        <f t="shared" ref="I241:J241" si="244">LEFT(F241,2)</f>
        <v>18</v>
      </c>
      <c r="J241" s="2" t="str">
        <f t="shared" si="244"/>
        <v>17</v>
      </c>
      <c r="K241" s="1">
        <f t="shared" si="1"/>
        <v>1</v>
      </c>
      <c r="M241" t="s">
        <v>24</v>
      </c>
      <c r="N241" t="s">
        <v>19</v>
      </c>
      <c r="O241" t="s">
        <v>321</v>
      </c>
    </row>
    <row r="242" spans="1:15" ht="14.25" customHeight="1">
      <c r="A242" s="5" t="str">
        <f t="shared" si="197"/>
        <v>514717</v>
      </c>
      <c r="B242" s="2" t="s">
        <v>425</v>
      </c>
      <c r="C242" s="1">
        <v>2510</v>
      </c>
      <c r="D242" s="1" t="s">
        <v>424</v>
      </c>
      <c r="E242" s="1">
        <v>20</v>
      </c>
      <c r="F242" s="1" t="s">
        <v>81</v>
      </c>
      <c r="G242" s="2" t="s">
        <v>64</v>
      </c>
      <c r="H242" s="1" t="s">
        <v>320</v>
      </c>
      <c r="I242" s="2" t="str">
        <f t="shared" ref="I242:J242" si="245">LEFT(F242,2)</f>
        <v>18</v>
      </c>
      <c r="J242" s="2" t="str">
        <f t="shared" si="245"/>
        <v>17</v>
      </c>
      <c r="K242" s="1">
        <f t="shared" si="1"/>
        <v>1</v>
      </c>
      <c r="M242" t="s">
        <v>24</v>
      </c>
      <c r="N242" t="s">
        <v>19</v>
      </c>
      <c r="O242" t="s">
        <v>321</v>
      </c>
    </row>
    <row r="243" spans="1:15" ht="14.25" customHeight="1">
      <c r="A243" s="5" t="str">
        <f t="shared" si="197"/>
        <v>516497</v>
      </c>
      <c r="B243" s="2" t="s">
        <v>426</v>
      </c>
      <c r="C243" s="1">
        <v>2510</v>
      </c>
      <c r="D243" s="1" t="s">
        <v>427</v>
      </c>
      <c r="E243" s="1">
        <v>2</v>
      </c>
      <c r="F243" s="1" t="s">
        <v>81</v>
      </c>
      <c r="G243" s="2" t="s">
        <v>64</v>
      </c>
      <c r="H243" s="1" t="s">
        <v>320</v>
      </c>
      <c r="I243" s="2" t="str">
        <f t="shared" ref="I243:J243" si="246">LEFT(F243,2)</f>
        <v>18</v>
      </c>
      <c r="J243" s="2" t="str">
        <f t="shared" si="246"/>
        <v>17</v>
      </c>
      <c r="K243" s="1">
        <f t="shared" si="1"/>
        <v>1</v>
      </c>
      <c r="M243" t="s">
        <v>18</v>
      </c>
      <c r="N243" t="s">
        <v>19</v>
      </c>
      <c r="O243" t="s">
        <v>321</v>
      </c>
    </row>
    <row r="244" spans="1:15" ht="14.25" customHeight="1">
      <c r="A244" s="5" t="str">
        <f t="shared" si="197"/>
        <v>516497</v>
      </c>
      <c r="B244" s="2" t="s">
        <v>428</v>
      </c>
      <c r="C244" s="1">
        <v>2510</v>
      </c>
      <c r="D244" s="1" t="s">
        <v>427</v>
      </c>
      <c r="E244" s="1">
        <v>1</v>
      </c>
      <c r="F244" s="1" t="s">
        <v>81</v>
      </c>
      <c r="G244" s="2" t="s">
        <v>64</v>
      </c>
      <c r="H244" s="1" t="s">
        <v>320</v>
      </c>
      <c r="I244" s="2" t="str">
        <f t="shared" ref="I244:J244" si="247">LEFT(F244,2)</f>
        <v>18</v>
      </c>
      <c r="J244" s="2" t="str">
        <f t="shared" si="247"/>
        <v>17</v>
      </c>
      <c r="K244" s="1">
        <f t="shared" si="1"/>
        <v>1</v>
      </c>
      <c r="M244" t="s">
        <v>18</v>
      </c>
      <c r="N244" t="s">
        <v>19</v>
      </c>
      <c r="O244" t="s">
        <v>321</v>
      </c>
    </row>
    <row r="245" spans="1:15" ht="14.25" customHeight="1">
      <c r="A245" s="5" t="str">
        <f t="shared" si="197"/>
        <v>525566</v>
      </c>
      <c r="B245" s="2" t="s">
        <v>429</v>
      </c>
      <c r="C245" s="1">
        <v>2510</v>
      </c>
      <c r="D245" s="1" t="s">
        <v>364</v>
      </c>
      <c r="E245" s="1">
        <v>5</v>
      </c>
      <c r="F245" s="1" t="s">
        <v>81</v>
      </c>
      <c r="G245" s="2" t="s">
        <v>15</v>
      </c>
      <c r="H245" s="1" t="s">
        <v>320</v>
      </c>
      <c r="I245" s="2" t="str">
        <f t="shared" ref="I245:J245" si="248">LEFT(F245,2)</f>
        <v>18</v>
      </c>
      <c r="J245" s="2" t="str">
        <f t="shared" si="248"/>
        <v>15</v>
      </c>
      <c r="K245" s="1">
        <f t="shared" si="1"/>
        <v>3</v>
      </c>
      <c r="M245" t="s">
        <v>18</v>
      </c>
      <c r="N245" t="s">
        <v>19</v>
      </c>
      <c r="O245" t="s">
        <v>321</v>
      </c>
    </row>
    <row r="246" spans="1:15" ht="14.25" customHeight="1">
      <c r="A246" s="5" t="str">
        <f t="shared" si="197"/>
        <v>537161</v>
      </c>
      <c r="B246" s="2" t="s">
        <v>430</v>
      </c>
      <c r="C246" s="1">
        <v>2510</v>
      </c>
      <c r="D246" s="1" t="s">
        <v>357</v>
      </c>
      <c r="E246" s="1">
        <v>4</v>
      </c>
      <c r="F246" s="1" t="s">
        <v>81</v>
      </c>
      <c r="G246" s="2" t="s">
        <v>23</v>
      </c>
      <c r="H246" s="1" t="s">
        <v>320</v>
      </c>
      <c r="I246" s="2" t="str">
        <f t="shared" ref="I246:J246" si="249">LEFT(F246,2)</f>
        <v>18</v>
      </c>
      <c r="J246" s="2" t="str">
        <f t="shared" si="249"/>
        <v>14</v>
      </c>
      <c r="K246" s="1">
        <f t="shared" si="1"/>
        <v>4</v>
      </c>
      <c r="M246" t="s">
        <v>34</v>
      </c>
      <c r="N246" t="s">
        <v>19</v>
      </c>
      <c r="O246" t="s">
        <v>321</v>
      </c>
    </row>
    <row r="247" spans="1:15" ht="14.25" customHeight="1">
      <c r="A247" s="5" t="str">
        <f t="shared" si="197"/>
        <v>539948</v>
      </c>
      <c r="B247" s="2" t="s">
        <v>431</v>
      </c>
      <c r="C247" s="1">
        <v>2510</v>
      </c>
      <c r="D247" s="1" t="s">
        <v>432</v>
      </c>
      <c r="E247" s="1">
        <v>1</v>
      </c>
      <c r="F247" s="1" t="s">
        <v>81</v>
      </c>
      <c r="G247" s="2" t="s">
        <v>64</v>
      </c>
      <c r="H247" s="1" t="s">
        <v>320</v>
      </c>
      <c r="I247" s="2" t="str">
        <f t="shared" ref="I247:J247" si="250">LEFT(F247,2)</f>
        <v>18</v>
      </c>
      <c r="J247" s="2" t="str">
        <f t="shared" si="250"/>
        <v>17</v>
      </c>
      <c r="K247" s="1">
        <f t="shared" si="1"/>
        <v>1</v>
      </c>
      <c r="M247" t="s">
        <v>24</v>
      </c>
      <c r="N247" t="s">
        <v>19</v>
      </c>
      <c r="O247" t="s">
        <v>321</v>
      </c>
    </row>
    <row r="248" spans="1:15" ht="14.25" customHeight="1">
      <c r="A248" s="5" t="str">
        <f t="shared" si="197"/>
        <v>539948</v>
      </c>
      <c r="B248" s="2" t="s">
        <v>433</v>
      </c>
      <c r="C248" s="1">
        <v>2510</v>
      </c>
      <c r="D248" s="1" t="s">
        <v>432</v>
      </c>
      <c r="E248" s="1">
        <v>1</v>
      </c>
      <c r="F248" s="1" t="s">
        <v>81</v>
      </c>
      <c r="G248" s="2" t="s">
        <v>64</v>
      </c>
      <c r="H248" s="1" t="s">
        <v>320</v>
      </c>
      <c r="I248" s="2" t="str">
        <f t="shared" ref="I248:J248" si="251">LEFT(F248,2)</f>
        <v>18</v>
      </c>
      <c r="J248" s="2" t="str">
        <f t="shared" si="251"/>
        <v>17</v>
      </c>
      <c r="K248" s="1">
        <f t="shared" si="1"/>
        <v>1</v>
      </c>
      <c r="M248" t="s">
        <v>24</v>
      </c>
      <c r="N248" t="s">
        <v>19</v>
      </c>
      <c r="O248" t="s">
        <v>321</v>
      </c>
    </row>
    <row r="249" spans="1:15" ht="14.25" customHeight="1">
      <c r="A249" s="5" t="str">
        <f t="shared" si="197"/>
        <v>539948</v>
      </c>
      <c r="B249" s="2" t="s">
        <v>434</v>
      </c>
      <c r="C249" s="1">
        <v>2510</v>
      </c>
      <c r="D249" s="1" t="s">
        <v>432</v>
      </c>
      <c r="E249" s="1">
        <v>3</v>
      </c>
      <c r="F249" s="1" t="s">
        <v>81</v>
      </c>
      <c r="G249" s="2" t="s">
        <v>64</v>
      </c>
      <c r="H249" s="1" t="s">
        <v>320</v>
      </c>
      <c r="I249" s="2" t="str">
        <f t="shared" ref="I249:J249" si="252">LEFT(F249,2)</f>
        <v>18</v>
      </c>
      <c r="J249" s="2" t="str">
        <f t="shared" si="252"/>
        <v>17</v>
      </c>
      <c r="K249" s="1">
        <f t="shared" si="1"/>
        <v>1</v>
      </c>
      <c r="M249" t="s">
        <v>24</v>
      </c>
      <c r="N249" t="s">
        <v>19</v>
      </c>
      <c r="O249" t="s">
        <v>321</v>
      </c>
    </row>
    <row r="250" spans="1:15" ht="14.25" customHeight="1">
      <c r="A250" s="5" t="str">
        <f t="shared" si="197"/>
        <v>528025</v>
      </c>
      <c r="B250" s="2" t="s">
        <v>435</v>
      </c>
      <c r="C250" s="1">
        <v>2510</v>
      </c>
      <c r="D250" s="1" t="s">
        <v>436</v>
      </c>
      <c r="E250" s="1">
        <v>2</v>
      </c>
      <c r="F250" s="1" t="s">
        <v>212</v>
      </c>
      <c r="G250" s="2" t="s">
        <v>137</v>
      </c>
      <c r="H250" s="1" t="s">
        <v>320</v>
      </c>
      <c r="I250" s="2" t="str">
        <f t="shared" ref="I250:J250" si="253">LEFT(F250,2)</f>
        <v>27</v>
      </c>
      <c r="J250" s="2" t="str">
        <f t="shared" si="253"/>
        <v>23</v>
      </c>
      <c r="K250" s="1">
        <f t="shared" si="1"/>
        <v>4</v>
      </c>
      <c r="M250" t="s">
        <v>27</v>
      </c>
      <c r="N250" t="s">
        <v>19</v>
      </c>
      <c r="O250" t="s">
        <v>321</v>
      </c>
    </row>
    <row r="251" spans="1:15" ht="14.25" customHeight="1">
      <c r="A251" s="5" t="str">
        <f t="shared" si="197"/>
        <v>495957</v>
      </c>
      <c r="B251" s="2" t="s">
        <v>437</v>
      </c>
      <c r="C251" s="1">
        <v>2510</v>
      </c>
      <c r="D251" s="1" t="s">
        <v>438</v>
      </c>
      <c r="E251" s="1">
        <v>2</v>
      </c>
      <c r="F251" s="1" t="s">
        <v>100</v>
      </c>
      <c r="G251" s="2" t="s">
        <v>81</v>
      </c>
      <c r="H251" s="1" t="s">
        <v>320</v>
      </c>
      <c r="I251" s="2" t="str">
        <f t="shared" ref="I251:J251" si="254">LEFT(F251,2)</f>
        <v>19</v>
      </c>
      <c r="J251" s="2" t="str">
        <f t="shared" si="254"/>
        <v>18</v>
      </c>
      <c r="K251" s="1">
        <f t="shared" si="1"/>
        <v>1</v>
      </c>
      <c r="M251" t="s">
        <v>18</v>
      </c>
      <c r="N251" t="s">
        <v>19</v>
      </c>
      <c r="O251" t="s">
        <v>321</v>
      </c>
    </row>
    <row r="252" spans="1:15" ht="14.25" customHeight="1">
      <c r="A252" s="5" t="str">
        <f t="shared" si="197"/>
        <v>495957</v>
      </c>
      <c r="B252" s="2" t="s">
        <v>439</v>
      </c>
      <c r="C252" s="1">
        <v>2510</v>
      </c>
      <c r="D252" s="1" t="s">
        <v>438</v>
      </c>
      <c r="E252" s="1">
        <v>2</v>
      </c>
      <c r="F252" s="1" t="s">
        <v>100</v>
      </c>
      <c r="G252" s="2" t="s">
        <v>81</v>
      </c>
      <c r="H252" s="1" t="s">
        <v>320</v>
      </c>
      <c r="I252" s="2" t="str">
        <f t="shared" ref="I252:J252" si="255">LEFT(F252,2)</f>
        <v>19</v>
      </c>
      <c r="J252" s="2" t="str">
        <f t="shared" si="255"/>
        <v>18</v>
      </c>
      <c r="K252" s="1">
        <f t="shared" si="1"/>
        <v>1</v>
      </c>
      <c r="M252" t="s">
        <v>18</v>
      </c>
      <c r="N252" t="s">
        <v>19</v>
      </c>
      <c r="O252" t="s">
        <v>321</v>
      </c>
    </row>
    <row r="253" spans="1:15" ht="14.25" customHeight="1">
      <c r="A253" s="5" t="str">
        <f t="shared" si="197"/>
        <v>495957</v>
      </c>
      <c r="B253" s="2" t="s">
        <v>440</v>
      </c>
      <c r="C253" s="1">
        <v>2510</v>
      </c>
      <c r="D253" s="1" t="s">
        <v>438</v>
      </c>
      <c r="E253" s="1">
        <v>3</v>
      </c>
      <c r="F253" s="1" t="s">
        <v>100</v>
      </c>
      <c r="G253" s="2" t="s">
        <v>81</v>
      </c>
      <c r="H253" s="1" t="s">
        <v>320</v>
      </c>
      <c r="I253" s="2" t="str">
        <f t="shared" ref="I253:J253" si="256">LEFT(F253,2)</f>
        <v>19</v>
      </c>
      <c r="J253" s="2" t="str">
        <f t="shared" si="256"/>
        <v>18</v>
      </c>
      <c r="K253" s="1">
        <f t="shared" si="1"/>
        <v>1</v>
      </c>
      <c r="M253" t="s">
        <v>18</v>
      </c>
      <c r="N253" t="s">
        <v>19</v>
      </c>
      <c r="O253" t="s">
        <v>321</v>
      </c>
    </row>
    <row r="254" spans="1:15" ht="14.25" customHeight="1">
      <c r="A254" s="5" t="str">
        <f t="shared" si="197"/>
        <v>509087</v>
      </c>
      <c r="B254" s="2" t="s">
        <v>441</v>
      </c>
      <c r="C254" s="1">
        <v>2507</v>
      </c>
      <c r="D254" s="1" t="s">
        <v>442</v>
      </c>
      <c r="E254" s="1">
        <v>1</v>
      </c>
      <c r="F254" s="1" t="s">
        <v>100</v>
      </c>
      <c r="G254" s="2" t="s">
        <v>100</v>
      </c>
      <c r="H254" s="1" t="s">
        <v>320</v>
      </c>
      <c r="I254" s="2" t="str">
        <f t="shared" ref="I254:J254" si="257">LEFT(F254,2)</f>
        <v>19</v>
      </c>
      <c r="J254" s="2" t="str">
        <f t="shared" si="257"/>
        <v>19</v>
      </c>
      <c r="K254" s="1">
        <f t="shared" si="1"/>
        <v>0</v>
      </c>
      <c r="M254" t="s">
        <v>24</v>
      </c>
      <c r="N254" t="s">
        <v>19</v>
      </c>
      <c r="O254" t="s">
        <v>321</v>
      </c>
    </row>
    <row r="255" spans="1:15" ht="14.25" customHeight="1">
      <c r="A255" s="5" t="str">
        <f t="shared" si="197"/>
        <v>509369</v>
      </c>
      <c r="B255" s="2" t="s">
        <v>443</v>
      </c>
      <c r="C255" s="1">
        <v>2507</v>
      </c>
      <c r="D255" s="1" t="s">
        <v>444</v>
      </c>
      <c r="E255" s="1">
        <v>1</v>
      </c>
      <c r="F255" s="1" t="s">
        <v>100</v>
      </c>
      <c r="G255" s="2" t="s">
        <v>15</v>
      </c>
      <c r="H255" s="1" t="s">
        <v>320</v>
      </c>
      <c r="I255" s="2" t="str">
        <f t="shared" ref="I255:J255" si="258">LEFT(F255,2)</f>
        <v>19</v>
      </c>
      <c r="J255" s="2" t="str">
        <f t="shared" si="258"/>
        <v>15</v>
      </c>
      <c r="K255" s="1">
        <f t="shared" si="1"/>
        <v>4</v>
      </c>
      <c r="M255" t="s">
        <v>18</v>
      </c>
      <c r="N255" t="s">
        <v>19</v>
      </c>
      <c r="O255" t="s">
        <v>321</v>
      </c>
    </row>
    <row r="256" spans="1:15" ht="14.25" customHeight="1">
      <c r="A256" s="5" t="str">
        <f t="shared" si="197"/>
        <v>513957</v>
      </c>
      <c r="B256" s="2" t="s">
        <v>445</v>
      </c>
      <c r="C256" s="1">
        <v>2510</v>
      </c>
      <c r="D256" s="1" t="s">
        <v>446</v>
      </c>
      <c r="E256" s="1">
        <v>7</v>
      </c>
      <c r="F256" s="1" t="s">
        <v>100</v>
      </c>
      <c r="G256" s="2" t="s">
        <v>81</v>
      </c>
      <c r="H256" s="1" t="s">
        <v>320</v>
      </c>
      <c r="I256" s="2" t="str">
        <f t="shared" ref="I256:J256" si="259">LEFT(F256,2)</f>
        <v>19</v>
      </c>
      <c r="J256" s="2" t="str">
        <f t="shared" si="259"/>
        <v>18</v>
      </c>
      <c r="K256" s="1">
        <f t="shared" si="1"/>
        <v>1</v>
      </c>
      <c r="M256" t="s">
        <v>447</v>
      </c>
      <c r="N256" t="s">
        <v>19</v>
      </c>
      <c r="O256" t="s">
        <v>321</v>
      </c>
    </row>
    <row r="257" spans="1:15" ht="14.25" customHeight="1">
      <c r="A257" s="5" t="str">
        <f t="shared" si="197"/>
        <v>513957</v>
      </c>
      <c r="B257" s="2" t="s">
        <v>448</v>
      </c>
      <c r="C257" s="1">
        <v>2510</v>
      </c>
      <c r="D257" s="1" t="s">
        <v>446</v>
      </c>
      <c r="E257" s="1">
        <v>11</v>
      </c>
      <c r="F257" s="1" t="s">
        <v>100</v>
      </c>
      <c r="G257" s="2" t="s">
        <v>81</v>
      </c>
      <c r="H257" s="1" t="s">
        <v>320</v>
      </c>
      <c r="I257" s="2" t="str">
        <f t="shared" ref="I257:J257" si="260">LEFT(F257,2)</f>
        <v>19</v>
      </c>
      <c r="J257" s="2" t="str">
        <f t="shared" si="260"/>
        <v>18</v>
      </c>
      <c r="K257" s="1">
        <f t="shared" ref="K257:K311" si="261">I257-J257</f>
        <v>1</v>
      </c>
      <c r="M257" t="s">
        <v>447</v>
      </c>
      <c r="N257" t="s">
        <v>19</v>
      </c>
      <c r="O257" t="s">
        <v>321</v>
      </c>
    </row>
    <row r="258" spans="1:15" ht="14.25" customHeight="1">
      <c r="A258" s="5" t="str">
        <f t="shared" si="197"/>
        <v>513957</v>
      </c>
      <c r="B258" s="2" t="s">
        <v>449</v>
      </c>
      <c r="C258" s="1">
        <v>2510</v>
      </c>
      <c r="D258" s="1" t="s">
        <v>446</v>
      </c>
      <c r="E258" s="1">
        <v>17</v>
      </c>
      <c r="F258" s="1" t="s">
        <v>100</v>
      </c>
      <c r="G258" s="2" t="s">
        <v>81</v>
      </c>
      <c r="H258" s="1" t="s">
        <v>320</v>
      </c>
      <c r="I258" s="2" t="str">
        <f t="shared" ref="I258:J258" si="262">LEFT(F258,2)</f>
        <v>19</v>
      </c>
      <c r="J258" s="2" t="str">
        <f t="shared" si="262"/>
        <v>18</v>
      </c>
      <c r="K258" s="1">
        <f t="shared" si="261"/>
        <v>1</v>
      </c>
      <c r="M258" t="s">
        <v>447</v>
      </c>
      <c r="N258" t="s">
        <v>19</v>
      </c>
      <c r="O258" t="s">
        <v>321</v>
      </c>
    </row>
    <row r="259" spans="1:15" ht="14.25" customHeight="1">
      <c r="A259" s="5" t="str">
        <f t="shared" ref="A259:A322" si="263">LEFT(B259,6)</f>
        <v>515409</v>
      </c>
      <c r="B259" s="2" t="s">
        <v>450</v>
      </c>
      <c r="C259" s="1">
        <v>2510</v>
      </c>
      <c r="D259" s="1" t="s">
        <v>451</v>
      </c>
      <c r="E259" s="1">
        <v>8</v>
      </c>
      <c r="F259" s="1" t="s">
        <v>100</v>
      </c>
      <c r="G259" s="2" t="s">
        <v>64</v>
      </c>
      <c r="H259" s="1" t="s">
        <v>320</v>
      </c>
      <c r="I259" s="2" t="str">
        <f t="shared" ref="I259:J259" si="264">LEFT(F259,2)</f>
        <v>19</v>
      </c>
      <c r="J259" s="2" t="str">
        <f t="shared" si="264"/>
        <v>17</v>
      </c>
      <c r="K259" s="1">
        <f t="shared" si="261"/>
        <v>2</v>
      </c>
      <c r="M259" t="s">
        <v>209</v>
      </c>
      <c r="N259" t="s">
        <v>19</v>
      </c>
      <c r="O259" t="s">
        <v>321</v>
      </c>
    </row>
    <row r="260" spans="1:15" ht="14.25" customHeight="1">
      <c r="A260" s="5" t="str">
        <f t="shared" si="263"/>
        <v>518249</v>
      </c>
      <c r="B260" s="2" t="s">
        <v>452</v>
      </c>
      <c r="C260" s="1">
        <v>2510</v>
      </c>
      <c r="D260" s="1" t="s">
        <v>453</v>
      </c>
      <c r="E260" s="1">
        <v>2</v>
      </c>
      <c r="F260" s="1" t="s">
        <v>100</v>
      </c>
      <c r="G260" s="2" t="s">
        <v>81</v>
      </c>
      <c r="H260" s="1" t="s">
        <v>320</v>
      </c>
      <c r="I260" s="2" t="str">
        <f t="shared" ref="I260:J260" si="265">LEFT(F260,2)</f>
        <v>19</v>
      </c>
      <c r="J260" s="2" t="str">
        <f t="shared" si="265"/>
        <v>18</v>
      </c>
      <c r="K260" s="1">
        <f t="shared" si="261"/>
        <v>1</v>
      </c>
      <c r="M260" t="s">
        <v>18</v>
      </c>
      <c r="N260" t="s">
        <v>19</v>
      </c>
      <c r="O260" t="s">
        <v>321</v>
      </c>
    </row>
    <row r="261" spans="1:15" ht="14.25" customHeight="1">
      <c r="A261" s="5" t="str">
        <f t="shared" si="263"/>
        <v>519275</v>
      </c>
      <c r="B261" s="2" t="s">
        <v>454</v>
      </c>
      <c r="C261" s="1">
        <v>2510</v>
      </c>
      <c r="D261" s="1" t="s">
        <v>455</v>
      </c>
      <c r="E261" s="1">
        <v>9</v>
      </c>
      <c r="F261" s="1" t="s">
        <v>100</v>
      </c>
      <c r="G261" s="2" t="s">
        <v>15</v>
      </c>
      <c r="H261" s="1" t="s">
        <v>320</v>
      </c>
      <c r="I261" s="2" t="str">
        <f t="shared" ref="I261:J261" si="266">LEFT(F261,2)</f>
        <v>19</v>
      </c>
      <c r="J261" s="2" t="str">
        <f t="shared" si="266"/>
        <v>15</v>
      </c>
      <c r="K261" s="1">
        <f t="shared" si="261"/>
        <v>4</v>
      </c>
      <c r="M261" t="s">
        <v>18</v>
      </c>
      <c r="N261" t="s">
        <v>19</v>
      </c>
      <c r="O261" t="s">
        <v>321</v>
      </c>
    </row>
    <row r="262" spans="1:15" ht="14.25" customHeight="1">
      <c r="A262" s="5" t="str">
        <f t="shared" si="263"/>
        <v>520425</v>
      </c>
      <c r="B262" s="2" t="s">
        <v>456</v>
      </c>
      <c r="C262" s="1">
        <v>2510</v>
      </c>
      <c r="D262" s="1" t="s">
        <v>457</v>
      </c>
      <c r="E262" s="1">
        <v>2</v>
      </c>
      <c r="F262" s="1" t="s">
        <v>100</v>
      </c>
      <c r="G262" s="2" t="s">
        <v>81</v>
      </c>
      <c r="H262" s="1" t="s">
        <v>320</v>
      </c>
      <c r="I262" s="2" t="str">
        <f t="shared" ref="I262:J262" si="267">LEFT(F262,2)</f>
        <v>19</v>
      </c>
      <c r="J262" s="2" t="str">
        <f t="shared" si="267"/>
        <v>18</v>
      </c>
      <c r="K262" s="1">
        <f t="shared" si="261"/>
        <v>1</v>
      </c>
      <c r="M262" t="s">
        <v>18</v>
      </c>
      <c r="N262" t="s">
        <v>19</v>
      </c>
      <c r="O262" t="s">
        <v>321</v>
      </c>
    </row>
    <row r="263" spans="1:15" ht="14.25" customHeight="1">
      <c r="A263" s="5" t="str">
        <f t="shared" si="263"/>
        <v>520432</v>
      </c>
      <c r="B263" s="2" t="s">
        <v>458</v>
      </c>
      <c r="C263" s="1">
        <v>2510</v>
      </c>
      <c r="D263" s="1" t="s">
        <v>459</v>
      </c>
      <c r="E263" s="1">
        <v>1</v>
      </c>
      <c r="F263" s="1" t="s">
        <v>100</v>
      </c>
      <c r="G263" s="2" t="s">
        <v>81</v>
      </c>
      <c r="H263" s="1" t="s">
        <v>320</v>
      </c>
      <c r="I263" s="2" t="str">
        <f t="shared" ref="I263:J263" si="268">LEFT(F263,2)</f>
        <v>19</v>
      </c>
      <c r="J263" s="2" t="str">
        <f t="shared" si="268"/>
        <v>18</v>
      </c>
      <c r="K263" s="1">
        <f t="shared" si="261"/>
        <v>1</v>
      </c>
      <c r="M263" t="s">
        <v>18</v>
      </c>
      <c r="N263" t="s">
        <v>19</v>
      </c>
      <c r="O263" t="s">
        <v>321</v>
      </c>
    </row>
    <row r="264" spans="1:15" ht="14.25" customHeight="1">
      <c r="A264" s="5" t="str">
        <f t="shared" si="263"/>
        <v>525271</v>
      </c>
      <c r="B264" s="2" t="s">
        <v>460</v>
      </c>
      <c r="C264" s="1">
        <v>2504</v>
      </c>
      <c r="D264" s="1" t="s">
        <v>461</v>
      </c>
      <c r="E264" s="1">
        <v>3</v>
      </c>
      <c r="F264" s="1" t="s">
        <v>100</v>
      </c>
      <c r="G264" s="2" t="s">
        <v>15</v>
      </c>
      <c r="H264" s="1" t="s">
        <v>320</v>
      </c>
      <c r="I264" s="2" t="str">
        <f t="shared" ref="I264:J264" si="269">LEFT(F264,2)</f>
        <v>19</v>
      </c>
      <c r="J264" s="2" t="str">
        <f t="shared" si="269"/>
        <v>15</v>
      </c>
      <c r="K264" s="1">
        <f t="shared" si="261"/>
        <v>4</v>
      </c>
      <c r="M264" t="s">
        <v>209</v>
      </c>
      <c r="N264" t="s">
        <v>19</v>
      </c>
      <c r="O264" t="s">
        <v>321</v>
      </c>
    </row>
    <row r="265" spans="1:15" ht="14.25" customHeight="1">
      <c r="A265" s="5" t="str">
        <f t="shared" si="263"/>
        <v>500553</v>
      </c>
      <c r="B265" s="2" t="s">
        <v>462</v>
      </c>
      <c r="C265" s="1">
        <v>2510</v>
      </c>
      <c r="D265" s="1" t="s">
        <v>463</v>
      </c>
      <c r="E265" s="1">
        <v>4</v>
      </c>
      <c r="F265" s="1" t="s">
        <v>108</v>
      </c>
      <c r="G265" s="2" t="s">
        <v>108</v>
      </c>
      <c r="H265" s="1" t="s">
        <v>320</v>
      </c>
      <c r="I265" s="2" t="str">
        <f t="shared" ref="I265:J265" si="270">LEFT(F265,2)</f>
        <v>20</v>
      </c>
      <c r="J265" s="2" t="str">
        <f t="shared" si="270"/>
        <v>20</v>
      </c>
      <c r="K265" s="1">
        <f t="shared" si="261"/>
        <v>0</v>
      </c>
      <c r="M265" t="s">
        <v>18</v>
      </c>
      <c r="N265" t="s">
        <v>19</v>
      </c>
      <c r="O265" t="s">
        <v>321</v>
      </c>
    </row>
    <row r="266" spans="1:15" ht="14.25" customHeight="1">
      <c r="A266" s="5" t="str">
        <f t="shared" si="263"/>
        <v>500553</v>
      </c>
      <c r="B266" s="2" t="s">
        <v>464</v>
      </c>
      <c r="C266" s="1">
        <v>2510</v>
      </c>
      <c r="D266" s="1" t="s">
        <v>463</v>
      </c>
      <c r="E266" s="1">
        <v>2</v>
      </c>
      <c r="F266" s="1" t="s">
        <v>108</v>
      </c>
      <c r="G266" s="2" t="s">
        <v>108</v>
      </c>
      <c r="H266" s="1" t="s">
        <v>320</v>
      </c>
      <c r="I266" s="2" t="str">
        <f t="shared" ref="I266:J266" si="271">LEFT(F266,2)</f>
        <v>20</v>
      </c>
      <c r="J266" s="2" t="str">
        <f t="shared" si="271"/>
        <v>20</v>
      </c>
      <c r="K266" s="1">
        <f t="shared" si="261"/>
        <v>0</v>
      </c>
      <c r="M266" t="s">
        <v>18</v>
      </c>
      <c r="N266" t="s">
        <v>19</v>
      </c>
      <c r="O266" t="s">
        <v>321</v>
      </c>
    </row>
    <row r="267" spans="1:15" ht="14.25" customHeight="1">
      <c r="A267" s="5" t="str">
        <f t="shared" si="263"/>
        <v>500553</v>
      </c>
      <c r="B267" s="2" t="s">
        <v>465</v>
      </c>
      <c r="C267" s="1">
        <v>2510</v>
      </c>
      <c r="D267" s="1" t="s">
        <v>463</v>
      </c>
      <c r="E267" s="1">
        <v>14</v>
      </c>
      <c r="F267" s="1" t="s">
        <v>108</v>
      </c>
      <c r="G267" s="2" t="s">
        <v>108</v>
      </c>
      <c r="H267" s="1" t="s">
        <v>320</v>
      </c>
      <c r="I267" s="2" t="str">
        <f t="shared" ref="I267:J267" si="272">LEFT(F267,2)</f>
        <v>20</v>
      </c>
      <c r="J267" s="2" t="str">
        <f t="shared" si="272"/>
        <v>20</v>
      </c>
      <c r="K267" s="1">
        <f t="shared" si="261"/>
        <v>0</v>
      </c>
      <c r="M267" t="s">
        <v>18</v>
      </c>
      <c r="N267" t="s">
        <v>19</v>
      </c>
      <c r="O267" t="s">
        <v>321</v>
      </c>
    </row>
    <row r="268" spans="1:15" ht="14.25" customHeight="1">
      <c r="A268" s="5" t="str">
        <f t="shared" si="263"/>
        <v>528862</v>
      </c>
      <c r="B268" s="2" t="s">
        <v>466</v>
      </c>
      <c r="C268" s="1">
        <v>2507</v>
      </c>
      <c r="D268" s="1" t="s">
        <v>467</v>
      </c>
      <c r="E268" s="1">
        <v>2</v>
      </c>
      <c r="F268" s="1" t="s">
        <v>108</v>
      </c>
      <c r="G268" s="2" t="s">
        <v>33</v>
      </c>
      <c r="H268" s="1" t="s">
        <v>320</v>
      </c>
      <c r="I268" s="2" t="str">
        <f t="shared" ref="I268:J268" si="273">LEFT(F268,2)</f>
        <v>20</v>
      </c>
      <c r="J268" s="2" t="str">
        <f t="shared" si="273"/>
        <v>16</v>
      </c>
      <c r="K268" s="1">
        <f t="shared" si="261"/>
        <v>4</v>
      </c>
      <c r="M268" t="s">
        <v>18</v>
      </c>
      <c r="N268" t="s">
        <v>19</v>
      </c>
      <c r="O268" t="s">
        <v>321</v>
      </c>
    </row>
    <row r="269" spans="1:15" ht="14.25" customHeight="1">
      <c r="A269" s="5" t="str">
        <f t="shared" si="263"/>
        <v>532064</v>
      </c>
      <c r="B269" s="2" t="s">
        <v>468</v>
      </c>
      <c r="C269" s="1">
        <v>2507</v>
      </c>
      <c r="D269" s="1" t="s">
        <v>469</v>
      </c>
      <c r="E269" s="1">
        <v>1</v>
      </c>
      <c r="F269" s="1" t="s">
        <v>108</v>
      </c>
      <c r="G269" s="2" t="s">
        <v>33</v>
      </c>
      <c r="H269" s="1" t="s">
        <v>320</v>
      </c>
      <c r="I269" s="2" t="str">
        <f t="shared" ref="I269:J269" si="274">LEFT(F269,2)</f>
        <v>20</v>
      </c>
      <c r="J269" s="2" t="str">
        <f t="shared" si="274"/>
        <v>16</v>
      </c>
      <c r="K269" s="1">
        <f t="shared" si="261"/>
        <v>4</v>
      </c>
      <c r="M269" t="s">
        <v>18</v>
      </c>
      <c r="N269" t="s">
        <v>19</v>
      </c>
      <c r="O269" t="s">
        <v>321</v>
      </c>
    </row>
    <row r="270" spans="1:15" ht="14.25" customHeight="1">
      <c r="A270" s="5" t="str">
        <f t="shared" si="263"/>
        <v>532065</v>
      </c>
      <c r="B270" s="2" t="s">
        <v>470</v>
      </c>
      <c r="C270" s="1">
        <v>2507</v>
      </c>
      <c r="D270" s="1" t="s">
        <v>471</v>
      </c>
      <c r="E270" s="1">
        <v>2</v>
      </c>
      <c r="F270" s="1" t="s">
        <v>108</v>
      </c>
      <c r="G270" s="2" t="s">
        <v>33</v>
      </c>
      <c r="H270" s="1" t="s">
        <v>320</v>
      </c>
      <c r="I270" s="2" t="str">
        <f t="shared" ref="I270:J270" si="275">LEFT(F270,2)</f>
        <v>20</v>
      </c>
      <c r="J270" s="2" t="str">
        <f t="shared" si="275"/>
        <v>16</v>
      </c>
      <c r="K270" s="1">
        <f t="shared" si="261"/>
        <v>4</v>
      </c>
      <c r="M270" t="s">
        <v>18</v>
      </c>
      <c r="N270" t="s">
        <v>19</v>
      </c>
      <c r="O270" t="s">
        <v>321</v>
      </c>
    </row>
    <row r="271" spans="1:15" ht="14.25" customHeight="1">
      <c r="A271" s="5" t="str">
        <f t="shared" si="263"/>
        <v>500553</v>
      </c>
      <c r="B271" s="2" t="s">
        <v>472</v>
      </c>
      <c r="C271" s="1">
        <v>2510</v>
      </c>
      <c r="D271" s="1" t="s">
        <v>463</v>
      </c>
      <c r="E271" s="1">
        <v>2</v>
      </c>
      <c r="F271" s="1" t="s">
        <v>113</v>
      </c>
      <c r="G271" s="2" t="s">
        <v>113</v>
      </c>
      <c r="H271" s="1" t="s">
        <v>320</v>
      </c>
      <c r="I271" s="2" t="str">
        <f t="shared" ref="I271:J271" si="276">LEFT(F271,2)</f>
        <v>21</v>
      </c>
      <c r="J271" s="2" t="str">
        <f t="shared" si="276"/>
        <v>21</v>
      </c>
      <c r="K271" s="1">
        <f t="shared" si="261"/>
        <v>0</v>
      </c>
      <c r="M271" t="s">
        <v>18</v>
      </c>
      <c r="N271" t="s">
        <v>19</v>
      </c>
      <c r="O271" t="s">
        <v>321</v>
      </c>
    </row>
    <row r="272" spans="1:15" ht="14.25" customHeight="1">
      <c r="A272" s="5" t="str">
        <f t="shared" si="263"/>
        <v>500553</v>
      </c>
      <c r="B272" s="2" t="s">
        <v>473</v>
      </c>
      <c r="C272" s="1">
        <v>2510</v>
      </c>
      <c r="D272" s="1" t="s">
        <v>463</v>
      </c>
      <c r="E272" s="1">
        <v>6</v>
      </c>
      <c r="F272" s="1" t="s">
        <v>113</v>
      </c>
      <c r="G272" s="2" t="s">
        <v>113</v>
      </c>
      <c r="H272" s="1" t="s">
        <v>320</v>
      </c>
      <c r="I272" s="2" t="str">
        <f t="shared" ref="I272:J272" si="277">LEFT(F272,2)</f>
        <v>21</v>
      </c>
      <c r="J272" s="2" t="str">
        <f t="shared" si="277"/>
        <v>21</v>
      </c>
      <c r="K272" s="1">
        <f t="shared" si="261"/>
        <v>0</v>
      </c>
      <c r="M272" t="s">
        <v>18</v>
      </c>
      <c r="N272" t="s">
        <v>19</v>
      </c>
      <c r="O272" t="s">
        <v>321</v>
      </c>
    </row>
    <row r="273" spans="1:15" ht="14.25" customHeight="1">
      <c r="A273" s="5" t="str">
        <f t="shared" si="263"/>
        <v>513957</v>
      </c>
      <c r="B273" s="2" t="s">
        <v>474</v>
      </c>
      <c r="C273" s="1">
        <v>2510</v>
      </c>
      <c r="D273" s="1" t="s">
        <v>446</v>
      </c>
      <c r="E273" s="1">
        <v>2</v>
      </c>
      <c r="F273" s="1" t="s">
        <v>113</v>
      </c>
      <c r="G273" s="2" t="s">
        <v>100</v>
      </c>
      <c r="H273" s="1" t="s">
        <v>320</v>
      </c>
      <c r="I273" s="2" t="str">
        <f t="shared" ref="I273:J273" si="278">LEFT(F273,2)</f>
        <v>21</v>
      </c>
      <c r="J273" s="2" t="str">
        <f t="shared" si="278"/>
        <v>19</v>
      </c>
      <c r="K273" s="1">
        <f t="shared" si="261"/>
        <v>2</v>
      </c>
      <c r="M273" t="s">
        <v>447</v>
      </c>
      <c r="N273" t="s">
        <v>19</v>
      </c>
      <c r="O273" t="s">
        <v>321</v>
      </c>
    </row>
    <row r="274" spans="1:15" ht="14.25" customHeight="1">
      <c r="A274" s="5" t="str">
        <f t="shared" si="263"/>
        <v>494264</v>
      </c>
      <c r="B274" s="2" t="s">
        <v>475</v>
      </c>
      <c r="C274" s="1">
        <v>2504</v>
      </c>
      <c r="D274" s="1" t="s">
        <v>476</v>
      </c>
      <c r="E274" s="1">
        <v>2</v>
      </c>
      <c r="F274" s="1" t="s">
        <v>142</v>
      </c>
      <c r="G274" s="2" t="s">
        <v>81</v>
      </c>
      <c r="H274" s="1" t="s">
        <v>320</v>
      </c>
      <c r="I274" s="2" t="str">
        <f t="shared" ref="I274:J274" si="279">LEFT(F274,2)</f>
        <v>22</v>
      </c>
      <c r="J274" s="2" t="str">
        <f t="shared" si="279"/>
        <v>18</v>
      </c>
      <c r="K274" s="1">
        <f t="shared" si="261"/>
        <v>4</v>
      </c>
      <c r="M274" t="s">
        <v>209</v>
      </c>
      <c r="N274" t="s">
        <v>19</v>
      </c>
      <c r="O274" t="s">
        <v>321</v>
      </c>
    </row>
    <row r="275" spans="1:15" ht="14.25" customHeight="1">
      <c r="A275" s="5" t="str">
        <f t="shared" si="263"/>
        <v>516623</v>
      </c>
      <c r="B275" s="2" t="s">
        <v>477</v>
      </c>
      <c r="C275" s="1">
        <v>2510</v>
      </c>
      <c r="D275" s="1" t="s">
        <v>478</v>
      </c>
      <c r="E275" s="1">
        <v>5</v>
      </c>
      <c r="F275" s="1" t="s">
        <v>137</v>
      </c>
      <c r="G275" s="2" t="s">
        <v>100</v>
      </c>
      <c r="H275" s="1" t="s">
        <v>320</v>
      </c>
      <c r="I275" s="2" t="str">
        <f t="shared" ref="I275:J275" si="280">LEFT(F275,2)</f>
        <v>23</v>
      </c>
      <c r="J275" s="2" t="str">
        <f t="shared" si="280"/>
        <v>19</v>
      </c>
      <c r="K275" s="1">
        <f t="shared" si="261"/>
        <v>4</v>
      </c>
      <c r="M275" t="s">
        <v>18</v>
      </c>
      <c r="N275" t="s">
        <v>19</v>
      </c>
      <c r="O275" t="s">
        <v>321</v>
      </c>
    </row>
    <row r="276" spans="1:15" ht="14.25" customHeight="1">
      <c r="A276" s="5" t="str">
        <f t="shared" si="263"/>
        <v>500553</v>
      </c>
      <c r="B276" s="2" t="s">
        <v>479</v>
      </c>
      <c r="C276" s="1">
        <v>2510</v>
      </c>
      <c r="D276" s="1" t="s">
        <v>463</v>
      </c>
      <c r="E276" s="1">
        <v>4</v>
      </c>
      <c r="F276" s="1" t="s">
        <v>204</v>
      </c>
      <c r="G276" s="2" t="s">
        <v>204</v>
      </c>
      <c r="H276" s="1" t="s">
        <v>320</v>
      </c>
      <c r="I276" s="2" t="str">
        <f t="shared" ref="I276:J276" si="281">LEFT(F276,2)</f>
        <v>25</v>
      </c>
      <c r="J276" s="2" t="str">
        <f t="shared" si="281"/>
        <v>25</v>
      </c>
      <c r="K276" s="1">
        <f t="shared" si="261"/>
        <v>0</v>
      </c>
      <c r="M276" t="s">
        <v>18</v>
      </c>
      <c r="N276" t="s">
        <v>19</v>
      </c>
      <c r="O276" t="s">
        <v>321</v>
      </c>
    </row>
    <row r="277" spans="1:15" ht="14.25" customHeight="1">
      <c r="A277" s="5" t="str">
        <f t="shared" si="263"/>
        <v>512396</v>
      </c>
      <c r="B277" s="2" t="s">
        <v>480</v>
      </c>
      <c r="C277" s="1">
        <v>2510</v>
      </c>
      <c r="D277" s="1" t="s">
        <v>420</v>
      </c>
      <c r="E277" s="1">
        <v>4</v>
      </c>
      <c r="F277" s="1" t="s">
        <v>204</v>
      </c>
      <c r="G277" s="2" t="s">
        <v>113</v>
      </c>
      <c r="H277" s="1" t="s">
        <v>320</v>
      </c>
      <c r="I277" s="2" t="str">
        <f t="shared" ref="I277:J277" si="282">LEFT(F277,2)</f>
        <v>25</v>
      </c>
      <c r="J277" s="2" t="str">
        <f t="shared" si="282"/>
        <v>21</v>
      </c>
      <c r="K277" s="1">
        <f t="shared" si="261"/>
        <v>4</v>
      </c>
      <c r="M277" t="s">
        <v>27</v>
      </c>
      <c r="N277" t="s">
        <v>19</v>
      </c>
      <c r="O277" t="s">
        <v>321</v>
      </c>
    </row>
    <row r="278" spans="1:15" ht="14.25" customHeight="1">
      <c r="A278" s="5" t="str">
        <f t="shared" si="263"/>
        <v>516623</v>
      </c>
      <c r="B278" s="2" t="s">
        <v>481</v>
      </c>
      <c r="C278" s="1">
        <v>2510</v>
      </c>
      <c r="D278" s="1" t="s">
        <v>478</v>
      </c>
      <c r="E278" s="1">
        <v>2</v>
      </c>
      <c r="F278" s="1" t="s">
        <v>204</v>
      </c>
      <c r="G278" s="2" t="s">
        <v>113</v>
      </c>
      <c r="H278" s="1" t="s">
        <v>320</v>
      </c>
      <c r="I278" s="2" t="str">
        <f t="shared" ref="I278:J278" si="283">LEFT(F278,2)</f>
        <v>25</v>
      </c>
      <c r="J278" s="2" t="str">
        <f t="shared" si="283"/>
        <v>21</v>
      </c>
      <c r="K278" s="1">
        <f t="shared" si="261"/>
        <v>4</v>
      </c>
      <c r="M278" t="s">
        <v>18</v>
      </c>
      <c r="N278" t="s">
        <v>19</v>
      </c>
      <c r="O278" t="s">
        <v>321</v>
      </c>
    </row>
    <row r="279" spans="1:15" ht="14.25" customHeight="1">
      <c r="A279" s="5" t="str">
        <f t="shared" si="263"/>
        <v>516549</v>
      </c>
      <c r="B279" s="2" t="s">
        <v>482</v>
      </c>
      <c r="C279" s="1">
        <v>2510</v>
      </c>
      <c r="D279" s="1" t="s">
        <v>483</v>
      </c>
      <c r="E279" s="1">
        <v>1</v>
      </c>
      <c r="F279" s="1" t="s">
        <v>81</v>
      </c>
      <c r="G279" s="2" t="s">
        <v>64</v>
      </c>
      <c r="H279" s="1" t="s">
        <v>320</v>
      </c>
      <c r="I279" s="2" t="str">
        <f t="shared" ref="I279:J279" si="284">LEFT(F279,2)</f>
        <v>18</v>
      </c>
      <c r="J279" s="2" t="str">
        <f t="shared" si="284"/>
        <v>17</v>
      </c>
      <c r="K279" s="1">
        <f t="shared" si="261"/>
        <v>1</v>
      </c>
      <c r="M279" t="s">
        <v>18</v>
      </c>
      <c r="N279" t="s">
        <v>19</v>
      </c>
      <c r="O279" t="s">
        <v>321</v>
      </c>
    </row>
    <row r="280" spans="1:15" ht="14.25" customHeight="1">
      <c r="A280" s="5" t="str">
        <f t="shared" si="263"/>
        <v>516549</v>
      </c>
      <c r="B280" s="2" t="s">
        <v>484</v>
      </c>
      <c r="C280" s="1">
        <v>2510</v>
      </c>
      <c r="D280" s="1" t="s">
        <v>483</v>
      </c>
      <c r="E280" s="1">
        <v>1</v>
      </c>
      <c r="F280" s="1" t="s">
        <v>100</v>
      </c>
      <c r="G280" s="2" t="s">
        <v>64</v>
      </c>
      <c r="H280" s="1" t="s">
        <v>320</v>
      </c>
      <c r="I280" s="2" t="str">
        <f t="shared" ref="I280:J280" si="285">LEFT(F280,2)</f>
        <v>19</v>
      </c>
      <c r="J280" s="2" t="str">
        <f t="shared" si="285"/>
        <v>17</v>
      </c>
      <c r="K280" s="1">
        <f t="shared" si="261"/>
        <v>2</v>
      </c>
      <c r="M280" t="s">
        <v>18</v>
      </c>
      <c r="N280" t="s">
        <v>19</v>
      </c>
      <c r="O280" t="s">
        <v>321</v>
      </c>
    </row>
    <row r="281" spans="1:15" ht="14.25" customHeight="1">
      <c r="A281" s="5" t="str">
        <f t="shared" si="263"/>
        <v>518949</v>
      </c>
      <c r="B281" s="2" t="s">
        <v>485</v>
      </c>
      <c r="C281" s="1">
        <v>2510</v>
      </c>
      <c r="D281" s="1" t="s">
        <v>486</v>
      </c>
      <c r="E281" s="1">
        <v>6</v>
      </c>
      <c r="F281" s="1" t="s">
        <v>487</v>
      </c>
      <c r="G281" s="2" t="s">
        <v>193</v>
      </c>
      <c r="H281" s="1" t="s">
        <v>320</v>
      </c>
      <c r="I281" s="2" t="str">
        <f t="shared" ref="I281:J281" si="286">LEFT(F281,2)</f>
        <v>30</v>
      </c>
      <c r="J281" s="2" t="str">
        <f t="shared" si="286"/>
        <v>26</v>
      </c>
      <c r="K281" s="1">
        <f t="shared" si="261"/>
        <v>4</v>
      </c>
      <c r="M281" t="s">
        <v>18</v>
      </c>
      <c r="N281" t="s">
        <v>19</v>
      </c>
      <c r="O281" t="s">
        <v>321</v>
      </c>
    </row>
    <row r="282" spans="1:15" ht="14.25" customHeight="1">
      <c r="A282" s="5" t="str">
        <f t="shared" si="263"/>
        <v>516549</v>
      </c>
      <c r="B282" s="2" t="s">
        <v>488</v>
      </c>
      <c r="C282" s="1">
        <v>2510</v>
      </c>
      <c r="D282" s="1" t="s">
        <v>483</v>
      </c>
      <c r="E282" s="1">
        <v>2</v>
      </c>
      <c r="F282" s="1" t="s">
        <v>100</v>
      </c>
      <c r="G282" s="2" t="s">
        <v>64</v>
      </c>
      <c r="H282" s="1" t="s">
        <v>320</v>
      </c>
      <c r="I282" s="2" t="str">
        <f t="shared" ref="I282:J282" si="287">LEFT(F282,2)</f>
        <v>19</v>
      </c>
      <c r="J282" s="2" t="str">
        <f t="shared" si="287"/>
        <v>17</v>
      </c>
      <c r="K282" s="1">
        <f t="shared" si="261"/>
        <v>2</v>
      </c>
      <c r="M282" t="s">
        <v>18</v>
      </c>
      <c r="N282" t="s">
        <v>19</v>
      </c>
      <c r="O282" t="s">
        <v>321</v>
      </c>
    </row>
    <row r="283" spans="1:15" ht="14.25" customHeight="1">
      <c r="A283" s="5" t="str">
        <f t="shared" si="263"/>
        <v>540509</v>
      </c>
      <c r="B283" s="2" t="s">
        <v>489</v>
      </c>
      <c r="C283" s="1">
        <v>2510</v>
      </c>
      <c r="D283" s="1" t="s">
        <v>490</v>
      </c>
      <c r="E283" s="1">
        <v>1</v>
      </c>
      <c r="F283" s="1" t="s">
        <v>108</v>
      </c>
      <c r="G283" s="2" t="s">
        <v>33</v>
      </c>
      <c r="H283" s="1" t="s">
        <v>320</v>
      </c>
      <c r="I283" s="2" t="str">
        <f t="shared" ref="I283:J283" si="288">LEFT(F283,2)</f>
        <v>20</v>
      </c>
      <c r="J283" s="2" t="str">
        <f t="shared" si="288"/>
        <v>16</v>
      </c>
      <c r="K283" s="1">
        <f t="shared" si="261"/>
        <v>4</v>
      </c>
      <c r="M283" t="s">
        <v>18</v>
      </c>
      <c r="N283" t="s">
        <v>19</v>
      </c>
      <c r="O283" t="s">
        <v>321</v>
      </c>
    </row>
    <row r="284" spans="1:15" ht="14.25" customHeight="1">
      <c r="A284" s="5" t="str">
        <f t="shared" si="263"/>
        <v>517522</v>
      </c>
      <c r="B284" s="2" t="s">
        <v>491</v>
      </c>
      <c r="C284" s="1">
        <v>2510</v>
      </c>
      <c r="D284" s="1" t="s">
        <v>492</v>
      </c>
      <c r="E284" s="1">
        <v>11</v>
      </c>
      <c r="F284" s="1" t="s">
        <v>142</v>
      </c>
      <c r="G284" s="2" t="s">
        <v>33</v>
      </c>
      <c r="H284" s="1" t="s">
        <v>493</v>
      </c>
      <c r="I284" s="2" t="str">
        <f t="shared" ref="I284:J284" si="289">LEFT(F284,2)</f>
        <v>22</v>
      </c>
      <c r="J284" s="2" t="str">
        <f t="shared" si="289"/>
        <v>16</v>
      </c>
      <c r="K284" s="1">
        <f t="shared" si="261"/>
        <v>6</v>
      </c>
      <c r="M284" t="s">
        <v>494</v>
      </c>
      <c r="N284" t="s">
        <v>50</v>
      </c>
      <c r="O284" t="s">
        <v>493</v>
      </c>
    </row>
    <row r="285" spans="1:15" ht="14.25" customHeight="1">
      <c r="A285" s="5" t="str">
        <f t="shared" si="263"/>
        <v>515607</v>
      </c>
      <c r="B285" s="2" t="s">
        <v>495</v>
      </c>
      <c r="C285" s="1">
        <v>2510</v>
      </c>
      <c r="D285" s="1" t="s">
        <v>496</v>
      </c>
      <c r="E285" s="1">
        <v>10</v>
      </c>
      <c r="F285" s="1" t="s">
        <v>137</v>
      </c>
      <c r="G285" s="2" t="s">
        <v>108</v>
      </c>
      <c r="H285" s="1" t="s">
        <v>493</v>
      </c>
      <c r="I285" s="2" t="str">
        <f t="shared" ref="I285:J285" si="290">LEFT(F285,2)</f>
        <v>23</v>
      </c>
      <c r="J285" s="2" t="str">
        <f t="shared" si="290"/>
        <v>20</v>
      </c>
      <c r="K285" s="1">
        <f t="shared" si="261"/>
        <v>3</v>
      </c>
      <c r="M285" t="s">
        <v>27</v>
      </c>
      <c r="N285" t="s">
        <v>50</v>
      </c>
      <c r="O285" t="s">
        <v>493</v>
      </c>
    </row>
    <row r="286" spans="1:15" ht="14.25" customHeight="1">
      <c r="A286" s="5" t="str">
        <f t="shared" si="263"/>
        <v>515607</v>
      </c>
      <c r="B286" s="2" t="s">
        <v>497</v>
      </c>
      <c r="C286" s="1">
        <v>2510</v>
      </c>
      <c r="D286" s="1" t="s">
        <v>496</v>
      </c>
      <c r="E286" s="1">
        <v>4</v>
      </c>
      <c r="F286" s="1" t="s">
        <v>113</v>
      </c>
      <c r="G286" s="2" t="s">
        <v>100</v>
      </c>
      <c r="H286" s="1" t="s">
        <v>493</v>
      </c>
      <c r="I286" s="2" t="str">
        <f t="shared" ref="I286:J286" si="291">LEFT(F286,2)</f>
        <v>21</v>
      </c>
      <c r="J286" s="2" t="str">
        <f t="shared" si="291"/>
        <v>19</v>
      </c>
      <c r="K286" s="1">
        <f t="shared" si="261"/>
        <v>2</v>
      </c>
      <c r="M286" t="s">
        <v>27</v>
      </c>
      <c r="N286" t="s">
        <v>50</v>
      </c>
      <c r="O286" t="s">
        <v>493</v>
      </c>
    </row>
    <row r="287" spans="1:15" ht="14.25" customHeight="1">
      <c r="A287" s="5" t="str">
        <f t="shared" si="263"/>
        <v>515608</v>
      </c>
      <c r="B287" s="2" t="s">
        <v>498</v>
      </c>
      <c r="C287" s="1">
        <v>2510</v>
      </c>
      <c r="D287" s="1" t="s">
        <v>499</v>
      </c>
      <c r="E287" s="1">
        <v>10</v>
      </c>
      <c r="F287" s="1" t="s">
        <v>137</v>
      </c>
      <c r="G287" s="2" t="s">
        <v>108</v>
      </c>
      <c r="H287" s="1" t="s">
        <v>493</v>
      </c>
      <c r="I287" s="2" t="str">
        <f t="shared" ref="I287:J287" si="292">LEFT(F287,2)</f>
        <v>23</v>
      </c>
      <c r="J287" s="2" t="str">
        <f t="shared" si="292"/>
        <v>20</v>
      </c>
      <c r="K287" s="1">
        <f t="shared" si="261"/>
        <v>3</v>
      </c>
      <c r="M287" t="s">
        <v>27</v>
      </c>
      <c r="N287" t="s">
        <v>50</v>
      </c>
      <c r="O287" t="s">
        <v>493</v>
      </c>
    </row>
    <row r="288" spans="1:15" ht="14.25" customHeight="1">
      <c r="A288" s="5" t="str">
        <f t="shared" si="263"/>
        <v>515608</v>
      </c>
      <c r="B288" s="2" t="s">
        <v>500</v>
      </c>
      <c r="C288" s="1">
        <v>2510</v>
      </c>
      <c r="D288" s="1" t="s">
        <v>499</v>
      </c>
      <c r="E288" s="1">
        <v>4</v>
      </c>
      <c r="F288" s="1" t="s">
        <v>113</v>
      </c>
      <c r="G288" s="2" t="s">
        <v>100</v>
      </c>
      <c r="H288" s="1" t="s">
        <v>493</v>
      </c>
      <c r="I288" s="2" t="str">
        <f t="shared" ref="I288:J288" si="293">LEFT(F288,2)</f>
        <v>21</v>
      </c>
      <c r="J288" s="2" t="str">
        <f t="shared" si="293"/>
        <v>19</v>
      </c>
      <c r="K288" s="1">
        <f t="shared" si="261"/>
        <v>2</v>
      </c>
      <c r="M288" t="s">
        <v>27</v>
      </c>
      <c r="N288" t="s">
        <v>50</v>
      </c>
      <c r="O288" t="s">
        <v>493</v>
      </c>
    </row>
    <row r="289" spans="1:15" ht="14.25" customHeight="1">
      <c r="A289" s="5" t="str">
        <f t="shared" si="263"/>
        <v>519692</v>
      </c>
      <c r="B289" s="2" t="s">
        <v>501</v>
      </c>
      <c r="C289" s="1">
        <v>2510</v>
      </c>
      <c r="D289" s="1" t="s">
        <v>502</v>
      </c>
      <c r="E289" s="1">
        <v>12</v>
      </c>
      <c r="F289" s="1" t="s">
        <v>113</v>
      </c>
      <c r="G289" s="2" t="s">
        <v>108</v>
      </c>
      <c r="H289" s="1" t="s">
        <v>493</v>
      </c>
      <c r="I289" s="2" t="str">
        <f t="shared" ref="I289:J289" si="294">LEFT(F289,2)</f>
        <v>21</v>
      </c>
      <c r="J289" s="2" t="str">
        <f t="shared" si="294"/>
        <v>20</v>
      </c>
      <c r="K289" s="1">
        <f t="shared" si="261"/>
        <v>1</v>
      </c>
      <c r="M289" t="s">
        <v>494</v>
      </c>
      <c r="N289" t="s">
        <v>50</v>
      </c>
      <c r="O289" t="s">
        <v>493</v>
      </c>
    </row>
    <row r="290" spans="1:15" ht="14.25" customHeight="1">
      <c r="A290" s="5" t="str">
        <f t="shared" si="263"/>
        <v>519692</v>
      </c>
      <c r="B290" s="2" t="s">
        <v>503</v>
      </c>
      <c r="C290" s="1">
        <v>2510</v>
      </c>
      <c r="D290" s="1" t="s">
        <v>502</v>
      </c>
      <c r="E290" s="1">
        <v>5</v>
      </c>
      <c r="F290" s="1" t="s">
        <v>113</v>
      </c>
      <c r="G290" s="2" t="s">
        <v>108</v>
      </c>
      <c r="H290" s="1" t="s">
        <v>493</v>
      </c>
      <c r="I290" s="2" t="str">
        <f t="shared" ref="I290:J290" si="295">LEFT(F290,2)</f>
        <v>21</v>
      </c>
      <c r="J290" s="2" t="str">
        <f t="shared" si="295"/>
        <v>20</v>
      </c>
      <c r="K290" s="1">
        <f t="shared" si="261"/>
        <v>1</v>
      </c>
      <c r="M290" t="s">
        <v>494</v>
      </c>
      <c r="N290" t="s">
        <v>50</v>
      </c>
      <c r="O290" t="s">
        <v>493</v>
      </c>
    </row>
    <row r="291" spans="1:15" ht="14.25" customHeight="1">
      <c r="A291" s="5" t="str">
        <f t="shared" si="263"/>
        <v>515668</v>
      </c>
      <c r="B291" s="2" t="s">
        <v>504</v>
      </c>
      <c r="C291" s="1">
        <v>2510</v>
      </c>
      <c r="D291" s="1" t="s">
        <v>505</v>
      </c>
      <c r="E291" s="1">
        <v>4</v>
      </c>
      <c r="F291" s="1" t="s">
        <v>137</v>
      </c>
      <c r="G291" s="2" t="s">
        <v>142</v>
      </c>
      <c r="H291" s="1" t="s">
        <v>493</v>
      </c>
      <c r="I291" s="2" t="str">
        <f t="shared" ref="I291:J291" si="296">LEFT(F291,2)</f>
        <v>23</v>
      </c>
      <c r="J291" s="2" t="str">
        <f t="shared" si="296"/>
        <v>22</v>
      </c>
      <c r="K291" s="1">
        <f t="shared" si="261"/>
        <v>1</v>
      </c>
      <c r="M291" t="s">
        <v>494</v>
      </c>
      <c r="N291" t="s">
        <v>50</v>
      </c>
      <c r="O291" t="s">
        <v>493</v>
      </c>
    </row>
    <row r="292" spans="1:15" ht="14.25" customHeight="1">
      <c r="A292" s="5" t="str">
        <f t="shared" si="263"/>
        <v>515668</v>
      </c>
      <c r="B292" s="2" t="s">
        <v>506</v>
      </c>
      <c r="C292" s="1">
        <v>2510</v>
      </c>
      <c r="D292" s="1" t="s">
        <v>505</v>
      </c>
      <c r="E292" s="1">
        <v>4</v>
      </c>
      <c r="F292" s="1" t="s">
        <v>142</v>
      </c>
      <c r="G292" s="2" t="s">
        <v>108</v>
      </c>
      <c r="H292" s="1" t="s">
        <v>493</v>
      </c>
      <c r="I292" s="2" t="str">
        <f t="shared" ref="I292:J292" si="297">LEFT(F292,2)</f>
        <v>22</v>
      </c>
      <c r="J292" s="2" t="str">
        <f t="shared" si="297"/>
        <v>20</v>
      </c>
      <c r="K292" s="1">
        <f t="shared" si="261"/>
        <v>2</v>
      </c>
      <c r="M292" t="s">
        <v>494</v>
      </c>
      <c r="N292" t="s">
        <v>50</v>
      </c>
      <c r="O292" t="s">
        <v>493</v>
      </c>
    </row>
    <row r="293" spans="1:15" ht="14.25" customHeight="1">
      <c r="A293" s="5" t="str">
        <f t="shared" si="263"/>
        <v>515668</v>
      </c>
      <c r="B293" s="2" t="s">
        <v>507</v>
      </c>
      <c r="C293" s="1">
        <v>2510</v>
      </c>
      <c r="D293" s="1" t="s">
        <v>505</v>
      </c>
      <c r="E293" s="1">
        <v>3</v>
      </c>
      <c r="F293" s="1" t="s">
        <v>142</v>
      </c>
      <c r="G293" s="2" t="s">
        <v>113</v>
      </c>
      <c r="H293" s="1" t="s">
        <v>493</v>
      </c>
      <c r="I293" s="2" t="str">
        <f t="shared" ref="I293:J293" si="298">LEFT(F293,2)</f>
        <v>22</v>
      </c>
      <c r="J293" s="2" t="str">
        <f t="shared" si="298"/>
        <v>21</v>
      </c>
      <c r="K293" s="1">
        <f t="shared" si="261"/>
        <v>1</v>
      </c>
      <c r="M293" t="s">
        <v>494</v>
      </c>
      <c r="N293" t="s">
        <v>50</v>
      </c>
      <c r="O293" t="s">
        <v>493</v>
      </c>
    </row>
    <row r="294" spans="1:15" ht="14.25" customHeight="1">
      <c r="A294" s="5" t="str">
        <f t="shared" si="263"/>
        <v>515668</v>
      </c>
      <c r="B294" s="2" t="s">
        <v>508</v>
      </c>
      <c r="C294" s="1">
        <v>2510</v>
      </c>
      <c r="D294" s="1" t="s">
        <v>505</v>
      </c>
      <c r="E294" s="1">
        <v>2</v>
      </c>
      <c r="F294" s="1" t="s">
        <v>137</v>
      </c>
      <c r="G294" s="2" t="s">
        <v>113</v>
      </c>
      <c r="H294" s="1" t="s">
        <v>493</v>
      </c>
      <c r="I294" s="2" t="str">
        <f t="shared" ref="I294:J294" si="299">LEFT(F294,2)</f>
        <v>23</v>
      </c>
      <c r="J294" s="2" t="str">
        <f t="shared" si="299"/>
        <v>21</v>
      </c>
      <c r="K294" s="1">
        <f t="shared" si="261"/>
        <v>2</v>
      </c>
      <c r="M294" t="s">
        <v>494</v>
      </c>
      <c r="N294" t="s">
        <v>50</v>
      </c>
      <c r="O294" t="s">
        <v>493</v>
      </c>
    </row>
    <row r="295" spans="1:15" ht="14.25" customHeight="1">
      <c r="A295" s="5" t="str">
        <f t="shared" si="263"/>
        <v>540521</v>
      </c>
      <c r="B295" s="2" t="s">
        <v>509</v>
      </c>
      <c r="C295" s="1">
        <v>2510</v>
      </c>
      <c r="D295" s="1" t="s">
        <v>510</v>
      </c>
      <c r="E295" s="1">
        <v>42</v>
      </c>
      <c r="F295" s="1" t="s">
        <v>108</v>
      </c>
      <c r="G295" s="2" t="s">
        <v>108</v>
      </c>
      <c r="H295" s="1" t="s">
        <v>493</v>
      </c>
      <c r="I295" s="2" t="str">
        <f t="shared" ref="I295:J295" si="300">LEFT(F295,2)</f>
        <v>20</v>
      </c>
      <c r="J295" s="2" t="str">
        <f t="shared" si="300"/>
        <v>20</v>
      </c>
      <c r="K295" s="1">
        <f t="shared" si="261"/>
        <v>0</v>
      </c>
      <c r="M295" t="s">
        <v>27</v>
      </c>
      <c r="N295" t="s">
        <v>50</v>
      </c>
      <c r="O295" t="s">
        <v>493</v>
      </c>
    </row>
    <row r="296" spans="1:15" ht="14.25" customHeight="1">
      <c r="A296" s="5" t="str">
        <f t="shared" si="263"/>
        <v>540521</v>
      </c>
      <c r="B296" s="2" t="s">
        <v>511</v>
      </c>
      <c r="C296" s="1">
        <v>2510</v>
      </c>
      <c r="D296" s="1" t="s">
        <v>510</v>
      </c>
      <c r="E296" s="1">
        <v>7</v>
      </c>
      <c r="F296" s="1" t="s">
        <v>108</v>
      </c>
      <c r="G296" s="2" t="s">
        <v>108</v>
      </c>
      <c r="H296" s="1" t="s">
        <v>493</v>
      </c>
      <c r="I296" s="2" t="str">
        <f t="shared" ref="I296:J296" si="301">LEFT(F296,2)</f>
        <v>20</v>
      </c>
      <c r="J296" s="2" t="str">
        <f t="shared" si="301"/>
        <v>20</v>
      </c>
      <c r="K296" s="1">
        <f t="shared" si="261"/>
        <v>0</v>
      </c>
      <c r="M296" t="s">
        <v>27</v>
      </c>
      <c r="N296" t="s">
        <v>50</v>
      </c>
      <c r="O296" t="s">
        <v>493</v>
      </c>
    </row>
    <row r="297" spans="1:15" ht="14.25" customHeight="1">
      <c r="A297" s="5" t="str">
        <f t="shared" si="263"/>
        <v>540521</v>
      </c>
      <c r="B297" s="2" t="s">
        <v>512</v>
      </c>
      <c r="C297" s="1">
        <v>2510</v>
      </c>
      <c r="D297" s="1" t="s">
        <v>510</v>
      </c>
      <c r="E297" s="1">
        <v>2</v>
      </c>
      <c r="F297" s="1" t="s">
        <v>113</v>
      </c>
      <c r="G297" s="2" t="s">
        <v>108</v>
      </c>
      <c r="H297" s="1" t="s">
        <v>493</v>
      </c>
      <c r="I297" s="2" t="str">
        <f t="shared" ref="I297:J297" si="302">LEFT(F297,2)</f>
        <v>21</v>
      </c>
      <c r="J297" s="2" t="str">
        <f t="shared" si="302"/>
        <v>20</v>
      </c>
      <c r="K297" s="1">
        <f t="shared" si="261"/>
        <v>1</v>
      </c>
      <c r="M297" t="s">
        <v>27</v>
      </c>
      <c r="N297" t="s">
        <v>50</v>
      </c>
      <c r="O297" t="s">
        <v>493</v>
      </c>
    </row>
    <row r="298" spans="1:15" ht="14.25" customHeight="1">
      <c r="A298" s="5" t="str">
        <f t="shared" si="263"/>
        <v>540521</v>
      </c>
      <c r="B298" s="2" t="s">
        <v>513</v>
      </c>
      <c r="C298" s="1">
        <v>2510</v>
      </c>
      <c r="D298" s="1" t="s">
        <v>510</v>
      </c>
      <c r="E298" s="1">
        <v>10</v>
      </c>
      <c r="F298" s="1" t="s">
        <v>113</v>
      </c>
      <c r="G298" s="2" t="s">
        <v>108</v>
      </c>
      <c r="H298" s="1" t="s">
        <v>493</v>
      </c>
      <c r="I298" s="2" t="str">
        <f t="shared" ref="I298:J298" si="303">LEFT(F298,2)</f>
        <v>21</v>
      </c>
      <c r="J298" s="2" t="str">
        <f t="shared" si="303"/>
        <v>20</v>
      </c>
      <c r="K298" s="1">
        <f t="shared" si="261"/>
        <v>1</v>
      </c>
      <c r="M298" t="s">
        <v>27</v>
      </c>
      <c r="N298" t="s">
        <v>50</v>
      </c>
      <c r="O298" t="s">
        <v>493</v>
      </c>
    </row>
    <row r="299" spans="1:15" ht="14.25" customHeight="1">
      <c r="A299" s="5" t="str">
        <f t="shared" si="263"/>
        <v>540521</v>
      </c>
      <c r="B299" s="2" t="s">
        <v>514</v>
      </c>
      <c r="C299" s="1">
        <v>2510</v>
      </c>
      <c r="D299" s="1" t="s">
        <v>510</v>
      </c>
      <c r="E299" s="1">
        <v>2</v>
      </c>
      <c r="F299" s="1" t="s">
        <v>113</v>
      </c>
      <c r="G299" s="2" t="s">
        <v>108</v>
      </c>
      <c r="H299" s="1" t="s">
        <v>493</v>
      </c>
      <c r="I299" s="2" t="str">
        <f t="shared" ref="I299:J299" si="304">LEFT(F299,2)</f>
        <v>21</v>
      </c>
      <c r="J299" s="2" t="str">
        <f t="shared" si="304"/>
        <v>20</v>
      </c>
      <c r="K299" s="1">
        <f t="shared" si="261"/>
        <v>1</v>
      </c>
      <c r="M299" t="s">
        <v>27</v>
      </c>
      <c r="N299" t="s">
        <v>50</v>
      </c>
      <c r="O299" t="s">
        <v>493</v>
      </c>
    </row>
    <row r="300" spans="1:15" ht="14.25" customHeight="1">
      <c r="A300" s="5" t="str">
        <f t="shared" si="263"/>
        <v>540521</v>
      </c>
      <c r="B300" s="2" t="s">
        <v>515</v>
      </c>
      <c r="C300" s="1">
        <v>2510</v>
      </c>
      <c r="D300" s="1" t="s">
        <v>510</v>
      </c>
      <c r="E300" s="1">
        <v>10</v>
      </c>
      <c r="F300" s="1" t="s">
        <v>204</v>
      </c>
      <c r="G300" s="2" t="s">
        <v>137</v>
      </c>
      <c r="H300" s="1" t="s">
        <v>493</v>
      </c>
      <c r="I300" s="2" t="str">
        <f t="shared" ref="I300:J300" si="305">LEFT(F300,2)</f>
        <v>25</v>
      </c>
      <c r="J300" s="2" t="str">
        <f t="shared" si="305"/>
        <v>23</v>
      </c>
      <c r="K300" s="1">
        <f t="shared" si="261"/>
        <v>2</v>
      </c>
      <c r="M300" t="s">
        <v>27</v>
      </c>
      <c r="N300" t="s">
        <v>50</v>
      </c>
      <c r="O300" t="s">
        <v>493</v>
      </c>
    </row>
    <row r="301" spans="1:15" ht="14.25" customHeight="1">
      <c r="A301" s="5" t="str">
        <f t="shared" si="263"/>
        <v>540521</v>
      </c>
      <c r="B301" s="2" t="s">
        <v>516</v>
      </c>
      <c r="C301" s="1">
        <v>2510</v>
      </c>
      <c r="D301" s="1" t="s">
        <v>510</v>
      </c>
      <c r="E301" s="1">
        <v>8</v>
      </c>
      <c r="F301" s="1" t="s">
        <v>204</v>
      </c>
      <c r="G301" s="2" t="s">
        <v>137</v>
      </c>
      <c r="H301" s="1" t="s">
        <v>493</v>
      </c>
      <c r="I301" s="2" t="str">
        <f t="shared" ref="I301:J301" si="306">LEFT(F301,2)</f>
        <v>25</v>
      </c>
      <c r="J301" s="2" t="str">
        <f t="shared" si="306"/>
        <v>23</v>
      </c>
      <c r="K301" s="1">
        <f t="shared" si="261"/>
        <v>2</v>
      </c>
      <c r="M301" t="s">
        <v>27</v>
      </c>
      <c r="N301" t="s">
        <v>50</v>
      </c>
      <c r="O301" t="s">
        <v>493</v>
      </c>
    </row>
    <row r="302" spans="1:15" ht="14.25" customHeight="1">
      <c r="A302" s="5" t="str">
        <f t="shared" si="263"/>
        <v>540522</v>
      </c>
      <c r="B302" s="2" t="s">
        <v>517</v>
      </c>
      <c r="C302" s="1">
        <v>2510</v>
      </c>
      <c r="D302" s="1" t="s">
        <v>518</v>
      </c>
      <c r="E302" s="1">
        <v>60</v>
      </c>
      <c r="F302" s="1" t="s">
        <v>108</v>
      </c>
      <c r="G302" s="2" t="s">
        <v>108</v>
      </c>
      <c r="H302" s="1" t="s">
        <v>493</v>
      </c>
      <c r="I302" s="2" t="str">
        <f t="shared" ref="I302:J302" si="307">LEFT(F302,2)</f>
        <v>20</v>
      </c>
      <c r="J302" s="2" t="str">
        <f t="shared" si="307"/>
        <v>20</v>
      </c>
      <c r="K302" s="1">
        <f t="shared" si="261"/>
        <v>0</v>
      </c>
      <c r="M302" t="s">
        <v>34</v>
      </c>
      <c r="N302" t="s">
        <v>50</v>
      </c>
      <c r="O302" t="s">
        <v>493</v>
      </c>
    </row>
    <row r="303" spans="1:15" ht="14.25" customHeight="1">
      <c r="A303" s="5" t="str">
        <f t="shared" si="263"/>
        <v>540522</v>
      </c>
      <c r="B303" s="2" t="s">
        <v>519</v>
      </c>
      <c r="C303" s="1">
        <v>2510</v>
      </c>
      <c r="D303" s="1" t="s">
        <v>518</v>
      </c>
      <c r="E303" s="1">
        <v>10</v>
      </c>
      <c r="F303" s="1" t="s">
        <v>108</v>
      </c>
      <c r="G303" s="2" t="s">
        <v>108</v>
      </c>
      <c r="H303" s="1" t="s">
        <v>493</v>
      </c>
      <c r="I303" s="2" t="str">
        <f t="shared" ref="I303:J303" si="308">LEFT(F303,2)</f>
        <v>20</v>
      </c>
      <c r="J303" s="2" t="str">
        <f t="shared" si="308"/>
        <v>20</v>
      </c>
      <c r="K303" s="1">
        <f t="shared" si="261"/>
        <v>0</v>
      </c>
      <c r="M303" t="s">
        <v>34</v>
      </c>
      <c r="N303" t="s">
        <v>50</v>
      </c>
      <c r="O303" t="s">
        <v>493</v>
      </c>
    </row>
    <row r="304" spans="1:15" ht="14.25" customHeight="1">
      <c r="A304" s="5" t="str">
        <f t="shared" si="263"/>
        <v>540522</v>
      </c>
      <c r="B304" s="2" t="s">
        <v>520</v>
      </c>
      <c r="C304" s="1">
        <v>2510</v>
      </c>
      <c r="D304" s="1" t="s">
        <v>518</v>
      </c>
      <c r="E304" s="1">
        <v>3</v>
      </c>
      <c r="F304" s="1" t="s">
        <v>113</v>
      </c>
      <c r="G304" s="2" t="s">
        <v>108</v>
      </c>
      <c r="H304" s="1" t="s">
        <v>493</v>
      </c>
      <c r="I304" s="2" t="str">
        <f t="shared" ref="I304:J304" si="309">LEFT(F304,2)</f>
        <v>21</v>
      </c>
      <c r="J304" s="2" t="str">
        <f t="shared" si="309"/>
        <v>20</v>
      </c>
      <c r="K304" s="1">
        <f t="shared" si="261"/>
        <v>1</v>
      </c>
      <c r="M304" t="s">
        <v>34</v>
      </c>
      <c r="N304" t="s">
        <v>50</v>
      </c>
      <c r="O304" t="s">
        <v>493</v>
      </c>
    </row>
    <row r="305" spans="1:15" ht="14.25" customHeight="1">
      <c r="A305" s="5" t="str">
        <f t="shared" si="263"/>
        <v>540522</v>
      </c>
      <c r="B305" s="2" t="s">
        <v>521</v>
      </c>
      <c r="C305" s="1">
        <v>2510</v>
      </c>
      <c r="D305" s="1" t="s">
        <v>518</v>
      </c>
      <c r="E305" s="1">
        <v>22</v>
      </c>
      <c r="F305" s="1" t="s">
        <v>113</v>
      </c>
      <c r="G305" s="2" t="s">
        <v>108</v>
      </c>
      <c r="H305" s="1" t="s">
        <v>493</v>
      </c>
      <c r="I305" s="2" t="str">
        <f t="shared" ref="I305:J305" si="310">LEFT(F305,2)</f>
        <v>21</v>
      </c>
      <c r="J305" s="2" t="str">
        <f t="shared" si="310"/>
        <v>20</v>
      </c>
      <c r="K305" s="1">
        <f t="shared" si="261"/>
        <v>1</v>
      </c>
      <c r="M305" t="s">
        <v>34</v>
      </c>
      <c r="N305" t="s">
        <v>50</v>
      </c>
      <c r="O305" t="s">
        <v>493</v>
      </c>
    </row>
    <row r="306" spans="1:15" ht="14.25" customHeight="1">
      <c r="A306" s="5" t="str">
        <f t="shared" si="263"/>
        <v>540522</v>
      </c>
      <c r="B306" s="2" t="s">
        <v>522</v>
      </c>
      <c r="C306" s="1">
        <v>2510</v>
      </c>
      <c r="D306" s="1" t="s">
        <v>518</v>
      </c>
      <c r="E306" s="1">
        <v>25</v>
      </c>
      <c r="F306" s="1" t="s">
        <v>204</v>
      </c>
      <c r="G306" s="2" t="s">
        <v>137</v>
      </c>
      <c r="H306" s="1" t="s">
        <v>493</v>
      </c>
      <c r="I306" s="2" t="str">
        <f t="shared" ref="I306:J306" si="311">LEFT(F306,2)</f>
        <v>25</v>
      </c>
      <c r="J306" s="2" t="str">
        <f t="shared" si="311"/>
        <v>23</v>
      </c>
      <c r="K306" s="1">
        <f t="shared" si="261"/>
        <v>2</v>
      </c>
      <c r="M306" t="s">
        <v>34</v>
      </c>
      <c r="N306" t="s">
        <v>50</v>
      </c>
      <c r="O306" t="s">
        <v>493</v>
      </c>
    </row>
    <row r="307" spans="1:15" ht="14.25" customHeight="1">
      <c r="A307" s="5" t="str">
        <f t="shared" si="263"/>
        <v>540522</v>
      </c>
      <c r="B307" s="2" t="s">
        <v>523</v>
      </c>
      <c r="C307" s="1">
        <v>2510</v>
      </c>
      <c r="D307" s="1" t="s">
        <v>518</v>
      </c>
      <c r="E307" s="1">
        <v>12</v>
      </c>
      <c r="F307" s="1" t="s">
        <v>204</v>
      </c>
      <c r="G307" s="2" t="s">
        <v>137</v>
      </c>
      <c r="H307" s="1" t="s">
        <v>493</v>
      </c>
      <c r="I307" s="2" t="str">
        <f t="shared" ref="I307:J307" si="312">LEFT(F307,2)</f>
        <v>25</v>
      </c>
      <c r="J307" s="2" t="str">
        <f t="shared" si="312"/>
        <v>23</v>
      </c>
      <c r="K307" s="1">
        <f t="shared" si="261"/>
        <v>2</v>
      </c>
      <c r="M307" t="s">
        <v>34</v>
      </c>
      <c r="N307" t="s">
        <v>50</v>
      </c>
      <c r="O307" t="s">
        <v>493</v>
      </c>
    </row>
    <row r="308" spans="1:15" ht="14.25" customHeight="1">
      <c r="A308" s="5" t="str">
        <f t="shared" si="263"/>
        <v>518805</v>
      </c>
      <c r="B308" s="2" t="s">
        <v>524</v>
      </c>
      <c r="C308" s="1">
        <v>2510</v>
      </c>
      <c r="D308" s="1" t="s">
        <v>525</v>
      </c>
      <c r="E308" s="1">
        <v>8</v>
      </c>
      <c r="F308" s="1" t="s">
        <v>108</v>
      </c>
      <c r="G308" s="2" t="s">
        <v>81</v>
      </c>
      <c r="H308" s="1" t="s">
        <v>493</v>
      </c>
      <c r="I308" s="2" t="str">
        <f t="shared" ref="I308:J308" si="313">LEFT(F308,2)</f>
        <v>20</v>
      </c>
      <c r="J308" s="2" t="str">
        <f t="shared" si="313"/>
        <v>18</v>
      </c>
      <c r="K308" s="1">
        <f t="shared" si="261"/>
        <v>2</v>
      </c>
      <c r="M308" t="s">
        <v>245</v>
      </c>
      <c r="N308" t="s">
        <v>50</v>
      </c>
      <c r="O308" t="s">
        <v>493</v>
      </c>
    </row>
    <row r="309" spans="1:15" ht="14.25" customHeight="1">
      <c r="A309" s="5" t="str">
        <f t="shared" si="263"/>
        <v>518807</v>
      </c>
      <c r="B309" s="2" t="s">
        <v>526</v>
      </c>
      <c r="C309" s="1">
        <v>2510</v>
      </c>
      <c r="D309" s="1" t="s">
        <v>527</v>
      </c>
      <c r="E309" s="1">
        <v>6</v>
      </c>
      <c r="F309" s="1" t="s">
        <v>108</v>
      </c>
      <c r="G309" s="2" t="s">
        <v>81</v>
      </c>
      <c r="H309" s="1" t="s">
        <v>493</v>
      </c>
      <c r="I309" s="2" t="str">
        <f t="shared" ref="I309:J309" si="314">LEFT(F309,2)</f>
        <v>20</v>
      </c>
      <c r="J309" s="2" t="str">
        <f t="shared" si="314"/>
        <v>18</v>
      </c>
      <c r="K309" s="1">
        <f t="shared" si="261"/>
        <v>2</v>
      </c>
      <c r="M309" t="s">
        <v>245</v>
      </c>
      <c r="N309" t="s">
        <v>50</v>
      </c>
      <c r="O309" t="s">
        <v>493</v>
      </c>
    </row>
    <row r="310" spans="1:15" ht="14.25" customHeight="1">
      <c r="A310" s="5" t="str">
        <f t="shared" si="263"/>
        <v>516018</v>
      </c>
      <c r="B310" s="2" t="s">
        <v>528</v>
      </c>
      <c r="C310" s="1">
        <v>2510</v>
      </c>
      <c r="D310" s="1" t="s">
        <v>529</v>
      </c>
      <c r="E310" s="1">
        <v>2</v>
      </c>
      <c r="F310" s="1" t="s">
        <v>113</v>
      </c>
      <c r="G310" s="2" t="s">
        <v>100</v>
      </c>
      <c r="H310" s="1" t="s">
        <v>493</v>
      </c>
      <c r="I310" s="2" t="str">
        <f t="shared" ref="I310:J310" si="315">LEFT(F310,2)</f>
        <v>21</v>
      </c>
      <c r="J310" s="2" t="str">
        <f t="shared" si="315"/>
        <v>19</v>
      </c>
      <c r="K310" s="1">
        <f t="shared" si="261"/>
        <v>2</v>
      </c>
      <c r="M310" t="s">
        <v>18</v>
      </c>
      <c r="N310" t="s">
        <v>50</v>
      </c>
      <c r="O310" t="s">
        <v>493</v>
      </c>
    </row>
    <row r="311" spans="1:15" ht="14.25" customHeight="1">
      <c r="A311" s="5" t="str">
        <f t="shared" si="263"/>
        <v>516018</v>
      </c>
      <c r="B311" s="2" t="s">
        <v>530</v>
      </c>
      <c r="C311" s="1">
        <v>2510</v>
      </c>
      <c r="D311" s="1" t="s">
        <v>529</v>
      </c>
      <c r="E311" s="1">
        <v>2</v>
      </c>
      <c r="F311" s="1" t="s">
        <v>137</v>
      </c>
      <c r="G311" s="2" t="s">
        <v>100</v>
      </c>
      <c r="H311" s="1" t="s">
        <v>493</v>
      </c>
      <c r="I311" s="2" t="str">
        <f t="shared" ref="I311:J311" si="316">LEFT(F311,2)</f>
        <v>23</v>
      </c>
      <c r="J311" s="2" t="str">
        <f t="shared" si="316"/>
        <v>19</v>
      </c>
      <c r="K311" s="1">
        <f t="shared" si="261"/>
        <v>4</v>
      </c>
      <c r="M311" t="s">
        <v>18</v>
      </c>
      <c r="N311" t="s">
        <v>50</v>
      </c>
      <c r="O311" t="s">
        <v>493</v>
      </c>
    </row>
    <row r="312" spans="1:15" ht="14.25" customHeight="1">
      <c r="A312" s="5" t="str">
        <f t="shared" si="263"/>
        <v>516018</v>
      </c>
      <c r="B312" s="2" t="s">
        <v>531</v>
      </c>
      <c r="C312" s="1">
        <v>2510</v>
      </c>
      <c r="D312" s="1" t="s">
        <v>529</v>
      </c>
      <c r="E312" s="1">
        <v>3</v>
      </c>
      <c r="F312" s="1" t="s">
        <v>137</v>
      </c>
      <c r="G312" s="2" t="s">
        <v>100</v>
      </c>
      <c r="H312" s="1" t="s">
        <v>493</v>
      </c>
      <c r="I312" s="2" t="str">
        <f t="shared" ref="I312:I375" si="317">LEFT(F312,2)</f>
        <v>23</v>
      </c>
      <c r="J312" s="2" t="str">
        <f t="shared" ref="J312:J375" si="318">LEFT(G312,2)</f>
        <v>19</v>
      </c>
      <c r="K312" s="1">
        <f t="shared" ref="K312:K375" si="319">I312-J312</f>
        <v>4</v>
      </c>
      <c r="M312" t="s">
        <v>18</v>
      </c>
      <c r="N312" t="s">
        <v>50</v>
      </c>
      <c r="O312" t="s">
        <v>493</v>
      </c>
    </row>
    <row r="313" spans="1:15" ht="14.25" customHeight="1">
      <c r="A313" s="5" t="str">
        <f t="shared" si="263"/>
        <v>507704</v>
      </c>
      <c r="B313" s="2" t="s">
        <v>532</v>
      </c>
      <c r="C313" s="1">
        <v>2510</v>
      </c>
      <c r="D313" s="1" t="s">
        <v>533</v>
      </c>
      <c r="E313" s="1">
        <v>2</v>
      </c>
      <c r="F313" s="1" t="s">
        <v>108</v>
      </c>
      <c r="G313" s="2" t="s">
        <v>81</v>
      </c>
      <c r="H313" s="1" t="s">
        <v>493</v>
      </c>
      <c r="I313" s="2" t="str">
        <f t="shared" si="317"/>
        <v>20</v>
      </c>
      <c r="J313" s="2" t="str">
        <f t="shared" si="318"/>
        <v>18</v>
      </c>
      <c r="K313" s="1">
        <f t="shared" si="319"/>
        <v>2</v>
      </c>
      <c r="M313" t="s">
        <v>245</v>
      </c>
      <c r="N313" t="s">
        <v>50</v>
      </c>
      <c r="O313" t="s">
        <v>493</v>
      </c>
    </row>
    <row r="314" spans="1:15" ht="14.25" customHeight="1">
      <c r="A314" s="5" t="str">
        <f t="shared" si="263"/>
        <v>507704</v>
      </c>
      <c r="B314" s="2" t="s">
        <v>534</v>
      </c>
      <c r="C314" s="1">
        <v>2510</v>
      </c>
      <c r="D314" s="1" t="s">
        <v>533</v>
      </c>
      <c r="E314" s="1">
        <v>4</v>
      </c>
      <c r="F314" s="1" t="s">
        <v>108</v>
      </c>
      <c r="G314" s="2" t="s">
        <v>81</v>
      </c>
      <c r="H314" s="1" t="s">
        <v>493</v>
      </c>
      <c r="I314" s="2" t="str">
        <f t="shared" si="317"/>
        <v>20</v>
      </c>
      <c r="J314" s="2" t="str">
        <f t="shared" si="318"/>
        <v>18</v>
      </c>
      <c r="K314" s="1">
        <f t="shared" si="319"/>
        <v>2</v>
      </c>
      <c r="M314" t="s">
        <v>245</v>
      </c>
      <c r="N314" t="s">
        <v>50</v>
      </c>
      <c r="O314" t="s">
        <v>493</v>
      </c>
    </row>
    <row r="315" spans="1:15" ht="14.25" customHeight="1">
      <c r="A315" s="5" t="str">
        <f t="shared" si="263"/>
        <v>507705</v>
      </c>
      <c r="B315" s="2" t="s">
        <v>535</v>
      </c>
      <c r="C315" s="1">
        <v>2510</v>
      </c>
      <c r="D315" s="1" t="s">
        <v>536</v>
      </c>
      <c r="E315" s="1">
        <v>2</v>
      </c>
      <c r="F315" s="1" t="s">
        <v>108</v>
      </c>
      <c r="G315" s="2" t="s">
        <v>81</v>
      </c>
      <c r="H315" s="1" t="s">
        <v>493</v>
      </c>
      <c r="I315" s="2" t="str">
        <f t="shared" si="317"/>
        <v>20</v>
      </c>
      <c r="J315" s="2" t="str">
        <f t="shared" si="318"/>
        <v>18</v>
      </c>
      <c r="K315" s="1">
        <f t="shared" si="319"/>
        <v>2</v>
      </c>
      <c r="M315" t="s">
        <v>245</v>
      </c>
      <c r="N315" t="s">
        <v>50</v>
      </c>
      <c r="O315" t="s">
        <v>493</v>
      </c>
    </row>
    <row r="316" spans="1:15" ht="14.25" customHeight="1">
      <c r="A316" s="5" t="str">
        <f t="shared" si="263"/>
        <v>507705</v>
      </c>
      <c r="B316" s="2" t="s">
        <v>537</v>
      </c>
      <c r="C316" s="1">
        <v>2510</v>
      </c>
      <c r="D316" s="1" t="s">
        <v>536</v>
      </c>
      <c r="E316" s="1">
        <v>4</v>
      </c>
      <c r="F316" s="1" t="s">
        <v>108</v>
      </c>
      <c r="G316" s="2" t="s">
        <v>81</v>
      </c>
      <c r="H316" s="1" t="s">
        <v>493</v>
      </c>
      <c r="I316" s="2" t="str">
        <f t="shared" si="317"/>
        <v>20</v>
      </c>
      <c r="J316" s="2" t="str">
        <f t="shared" si="318"/>
        <v>18</v>
      </c>
      <c r="K316" s="1">
        <f t="shared" si="319"/>
        <v>2</v>
      </c>
      <c r="M316" t="s">
        <v>245</v>
      </c>
      <c r="N316" t="s">
        <v>50</v>
      </c>
      <c r="O316" t="s">
        <v>493</v>
      </c>
    </row>
    <row r="317" spans="1:15" ht="14.25" customHeight="1">
      <c r="A317" s="5" t="str">
        <f t="shared" si="263"/>
        <v>507662</v>
      </c>
      <c r="B317" s="2" t="s">
        <v>538</v>
      </c>
      <c r="C317" s="1">
        <v>2507</v>
      </c>
      <c r="D317" s="1" t="s">
        <v>539</v>
      </c>
      <c r="E317" s="1">
        <v>2</v>
      </c>
      <c r="F317" s="1" t="s">
        <v>100</v>
      </c>
      <c r="G317" s="2" t="s">
        <v>23</v>
      </c>
      <c r="H317" s="1" t="s">
        <v>540</v>
      </c>
      <c r="I317" s="2" t="str">
        <f t="shared" si="317"/>
        <v>19</v>
      </c>
      <c r="J317" s="2" t="str">
        <f t="shared" si="318"/>
        <v>14</v>
      </c>
      <c r="K317" s="1">
        <f t="shared" si="319"/>
        <v>5</v>
      </c>
      <c r="M317" t="s">
        <v>34</v>
      </c>
      <c r="N317" t="s">
        <v>19</v>
      </c>
      <c r="O317" t="s">
        <v>321</v>
      </c>
    </row>
    <row r="318" spans="1:15" ht="14.25" customHeight="1">
      <c r="A318" s="5" t="str">
        <f t="shared" si="263"/>
        <v>500552</v>
      </c>
      <c r="B318" s="2" t="s">
        <v>541</v>
      </c>
      <c r="C318" s="1">
        <v>2510</v>
      </c>
      <c r="D318" s="1" t="s">
        <v>382</v>
      </c>
      <c r="E318" s="1">
        <v>2</v>
      </c>
      <c r="F318" s="1" t="s">
        <v>142</v>
      </c>
      <c r="G318" s="2" t="s">
        <v>15</v>
      </c>
      <c r="H318" s="1" t="s">
        <v>540</v>
      </c>
      <c r="I318" s="2" t="str">
        <f t="shared" si="317"/>
        <v>22</v>
      </c>
      <c r="J318" s="2" t="str">
        <f t="shared" si="318"/>
        <v>15</v>
      </c>
      <c r="K318" s="1">
        <f t="shared" si="319"/>
        <v>7</v>
      </c>
      <c r="M318" t="s">
        <v>18</v>
      </c>
      <c r="N318" t="s">
        <v>19</v>
      </c>
      <c r="O318" t="s">
        <v>321</v>
      </c>
    </row>
    <row r="319" spans="1:15" ht="14.25" customHeight="1">
      <c r="A319" s="5" t="str">
        <f t="shared" si="263"/>
        <v>515509</v>
      </c>
      <c r="B319" s="2" t="s">
        <v>542</v>
      </c>
      <c r="C319" s="1">
        <v>2510</v>
      </c>
      <c r="D319" s="1" t="s">
        <v>543</v>
      </c>
      <c r="E319" s="1">
        <v>2</v>
      </c>
      <c r="F319" s="1" t="s">
        <v>150</v>
      </c>
      <c r="G319" s="2" t="s">
        <v>15</v>
      </c>
      <c r="H319" s="1" t="s">
        <v>540</v>
      </c>
      <c r="I319" s="2" t="str">
        <f t="shared" si="317"/>
        <v>24</v>
      </c>
      <c r="J319" s="2" t="str">
        <f t="shared" si="318"/>
        <v>15</v>
      </c>
      <c r="K319" s="1">
        <f t="shared" si="319"/>
        <v>9</v>
      </c>
      <c r="M319" t="s">
        <v>209</v>
      </c>
      <c r="N319" t="s">
        <v>19</v>
      </c>
      <c r="O319" t="s">
        <v>321</v>
      </c>
    </row>
    <row r="320" spans="1:15" ht="14.25" customHeight="1">
      <c r="A320" s="5" t="str">
        <f t="shared" si="263"/>
        <v>515862</v>
      </c>
      <c r="B320" s="2" t="s">
        <v>544</v>
      </c>
      <c r="C320" s="1">
        <v>2510</v>
      </c>
      <c r="D320" s="1" t="s">
        <v>362</v>
      </c>
      <c r="E320" s="1">
        <v>2</v>
      </c>
      <c r="F320" s="1" t="s">
        <v>204</v>
      </c>
      <c r="G320" s="2" t="s">
        <v>15</v>
      </c>
      <c r="H320" s="1" t="s">
        <v>540</v>
      </c>
      <c r="I320" s="2" t="str">
        <f t="shared" si="317"/>
        <v>25</v>
      </c>
      <c r="J320" s="2" t="str">
        <f t="shared" si="318"/>
        <v>15</v>
      </c>
      <c r="K320" s="1">
        <f t="shared" si="319"/>
        <v>10</v>
      </c>
      <c r="M320" t="s">
        <v>27</v>
      </c>
      <c r="N320" t="s">
        <v>19</v>
      </c>
      <c r="O320" t="s">
        <v>321</v>
      </c>
    </row>
    <row r="321" spans="1:23" ht="14.25" customHeight="1">
      <c r="A321" s="5" t="str">
        <f t="shared" si="263"/>
        <v>540509</v>
      </c>
      <c r="B321" s="2" t="s">
        <v>545</v>
      </c>
      <c r="C321" s="1">
        <v>2510</v>
      </c>
      <c r="D321" s="1" t="s">
        <v>490</v>
      </c>
      <c r="E321" s="1">
        <v>1</v>
      </c>
      <c r="F321" s="1" t="s">
        <v>108</v>
      </c>
      <c r="G321" s="2" t="s">
        <v>15</v>
      </c>
      <c r="H321" s="1" t="s">
        <v>540</v>
      </c>
      <c r="I321" s="2" t="str">
        <f t="shared" si="317"/>
        <v>20</v>
      </c>
      <c r="J321" s="2" t="str">
        <f t="shared" si="318"/>
        <v>15</v>
      </c>
      <c r="K321" s="1">
        <f t="shared" si="319"/>
        <v>5</v>
      </c>
      <c r="M321" t="s">
        <v>18</v>
      </c>
      <c r="N321" t="s">
        <v>19</v>
      </c>
      <c r="O321" t="s">
        <v>321</v>
      </c>
    </row>
    <row r="322" spans="1:23" ht="14.25" customHeight="1">
      <c r="A322" s="5" t="str">
        <f t="shared" si="263"/>
        <v>540509</v>
      </c>
      <c r="B322" s="2" t="s">
        <v>546</v>
      </c>
      <c r="C322" s="1">
        <v>2510</v>
      </c>
      <c r="D322" s="1" t="s">
        <v>490</v>
      </c>
      <c r="E322" s="1">
        <v>1</v>
      </c>
      <c r="F322" s="1" t="s">
        <v>108</v>
      </c>
      <c r="G322" s="2" t="s">
        <v>15</v>
      </c>
      <c r="H322" s="1" t="s">
        <v>540</v>
      </c>
      <c r="I322" s="2" t="str">
        <f t="shared" si="317"/>
        <v>20</v>
      </c>
      <c r="J322" s="2" t="str">
        <f t="shared" si="318"/>
        <v>15</v>
      </c>
      <c r="K322" s="1">
        <f t="shared" si="319"/>
        <v>5</v>
      </c>
      <c r="M322" t="s">
        <v>18</v>
      </c>
      <c r="N322" t="s">
        <v>19</v>
      </c>
      <c r="O322" t="s">
        <v>321</v>
      </c>
    </row>
    <row r="323" spans="1:23" ht="15.75" customHeight="1">
      <c r="A323" s="5" t="str">
        <f t="shared" ref="A323:A386" si="320">LEFT(B323,6)</f>
        <v>525144</v>
      </c>
      <c r="B323" s="2" t="s">
        <v>547</v>
      </c>
      <c r="C323" s="1">
        <v>2510</v>
      </c>
      <c r="D323" s="1" t="s">
        <v>548</v>
      </c>
      <c r="E323" s="1">
        <v>2</v>
      </c>
      <c r="F323" s="1" t="s">
        <v>549</v>
      </c>
      <c r="G323" s="2" t="s">
        <v>108</v>
      </c>
      <c r="H323" s="1" t="s">
        <v>540</v>
      </c>
      <c r="I323" s="2" t="str">
        <f t="shared" si="317"/>
        <v>29</v>
      </c>
      <c r="J323" s="2" t="str">
        <f t="shared" si="318"/>
        <v>20</v>
      </c>
      <c r="K323" s="1">
        <f t="shared" si="319"/>
        <v>9</v>
      </c>
      <c r="M323" t="s">
        <v>18</v>
      </c>
      <c r="N323" t="s">
        <v>19</v>
      </c>
      <c r="O323" t="s">
        <v>321</v>
      </c>
      <c r="P323" s="1"/>
      <c r="Q323" s="1"/>
      <c r="R323" s="1"/>
      <c r="S323" s="1"/>
      <c r="T323" s="1"/>
      <c r="U323" s="1"/>
      <c r="V323" s="1"/>
      <c r="W323" s="1"/>
    </row>
    <row r="324" spans="1:23" ht="14.25" customHeight="1">
      <c r="A324" s="5" t="str">
        <f t="shared" si="320"/>
        <v>532224</v>
      </c>
      <c r="B324" s="2" t="s">
        <v>550</v>
      </c>
      <c r="C324" s="1">
        <v>2510</v>
      </c>
      <c r="D324" s="1" t="s">
        <v>551</v>
      </c>
      <c r="E324" s="1">
        <v>3</v>
      </c>
      <c r="F324" s="1" t="s">
        <v>137</v>
      </c>
      <c r="G324" s="2" t="s">
        <v>100</v>
      </c>
      <c r="H324" s="1" t="s">
        <v>552</v>
      </c>
      <c r="I324" s="2" t="str">
        <f t="shared" si="317"/>
        <v>23</v>
      </c>
      <c r="J324" s="2" t="str">
        <f t="shared" si="318"/>
        <v>19</v>
      </c>
      <c r="K324" s="1">
        <f t="shared" si="319"/>
        <v>4</v>
      </c>
      <c r="M324" t="s">
        <v>245</v>
      </c>
      <c r="N324" t="s">
        <v>50</v>
      </c>
      <c r="O324" t="s">
        <v>552</v>
      </c>
    </row>
    <row r="325" spans="1:23" ht="14.25" customHeight="1">
      <c r="A325" s="5" t="str">
        <f t="shared" si="320"/>
        <v>532224</v>
      </c>
      <c r="B325" s="2" t="s">
        <v>553</v>
      </c>
      <c r="C325" s="1">
        <v>2510</v>
      </c>
      <c r="D325" s="1" t="s">
        <v>551</v>
      </c>
      <c r="E325" s="1">
        <v>12</v>
      </c>
      <c r="F325" s="1" t="s">
        <v>142</v>
      </c>
      <c r="G325" s="4" t="s">
        <v>100</v>
      </c>
      <c r="H325" s="1" t="s">
        <v>552</v>
      </c>
      <c r="I325" s="2" t="str">
        <f t="shared" si="317"/>
        <v>22</v>
      </c>
      <c r="J325" s="2" t="str">
        <f t="shared" si="318"/>
        <v>19</v>
      </c>
      <c r="K325" s="1">
        <f t="shared" si="319"/>
        <v>3</v>
      </c>
      <c r="M325" t="s">
        <v>245</v>
      </c>
      <c r="N325" t="s">
        <v>50</v>
      </c>
      <c r="O325" t="s">
        <v>552</v>
      </c>
    </row>
    <row r="326" spans="1:23" ht="14.25" customHeight="1">
      <c r="A326" s="5" t="str">
        <f t="shared" si="320"/>
        <v>532224</v>
      </c>
      <c r="B326" s="2" t="s">
        <v>554</v>
      </c>
      <c r="C326" s="1">
        <v>2510</v>
      </c>
      <c r="D326" s="1" t="s">
        <v>551</v>
      </c>
      <c r="E326" s="1">
        <v>2</v>
      </c>
      <c r="F326" s="1" t="s">
        <v>137</v>
      </c>
      <c r="G326" s="2" t="s">
        <v>100</v>
      </c>
      <c r="H326" s="1" t="s">
        <v>552</v>
      </c>
      <c r="I326" s="2" t="str">
        <f t="shared" si="317"/>
        <v>23</v>
      </c>
      <c r="J326" s="2" t="str">
        <f t="shared" si="318"/>
        <v>19</v>
      </c>
      <c r="K326" s="1">
        <f t="shared" si="319"/>
        <v>4</v>
      </c>
      <c r="M326" t="s">
        <v>245</v>
      </c>
      <c r="N326" t="s">
        <v>50</v>
      </c>
      <c r="O326" t="s">
        <v>552</v>
      </c>
    </row>
    <row r="327" spans="1:23" ht="14.25" customHeight="1">
      <c r="A327" s="5" t="str">
        <f t="shared" si="320"/>
        <v>515403</v>
      </c>
      <c r="B327" s="2" t="s">
        <v>555</v>
      </c>
      <c r="C327" s="1">
        <v>2510</v>
      </c>
      <c r="D327" s="1" t="s">
        <v>556</v>
      </c>
      <c r="E327" s="1">
        <v>2</v>
      </c>
      <c r="F327" s="1" t="s">
        <v>150</v>
      </c>
      <c r="G327" s="2" t="s">
        <v>81</v>
      </c>
      <c r="H327" s="1" t="s">
        <v>557</v>
      </c>
      <c r="I327" s="2" t="str">
        <f t="shared" si="317"/>
        <v>24</v>
      </c>
      <c r="J327" s="2" t="str">
        <f t="shared" si="318"/>
        <v>18</v>
      </c>
      <c r="K327" s="1">
        <f t="shared" si="319"/>
        <v>6</v>
      </c>
      <c r="M327" t="s">
        <v>151</v>
      </c>
      <c r="N327" t="s">
        <v>50</v>
      </c>
      <c r="O327" t="s">
        <v>558</v>
      </c>
    </row>
    <row r="328" spans="1:23" ht="14.25" customHeight="1">
      <c r="A328" s="5" t="str">
        <f t="shared" si="320"/>
        <v>515400</v>
      </c>
      <c r="B328" s="2" t="s">
        <v>559</v>
      </c>
      <c r="C328" s="1">
        <v>2510</v>
      </c>
      <c r="D328" s="1" t="s">
        <v>560</v>
      </c>
      <c r="E328" s="1">
        <v>2</v>
      </c>
      <c r="F328" s="1" t="s">
        <v>150</v>
      </c>
      <c r="G328" s="2" t="s">
        <v>81</v>
      </c>
      <c r="H328" s="1" t="s">
        <v>557</v>
      </c>
      <c r="I328" s="2" t="str">
        <f t="shared" si="317"/>
        <v>24</v>
      </c>
      <c r="J328" s="2" t="str">
        <f t="shared" si="318"/>
        <v>18</v>
      </c>
      <c r="K328" s="1">
        <f t="shared" si="319"/>
        <v>6</v>
      </c>
      <c r="M328" t="s">
        <v>151</v>
      </c>
      <c r="N328" t="s">
        <v>50</v>
      </c>
      <c r="O328" t="s">
        <v>558</v>
      </c>
    </row>
    <row r="329" spans="1:23" ht="14.25" customHeight="1">
      <c r="A329" s="5" t="str">
        <f t="shared" si="320"/>
        <v>515770</v>
      </c>
      <c r="B329" s="2" t="s">
        <v>561</v>
      </c>
      <c r="C329" s="1">
        <v>2510</v>
      </c>
      <c r="D329" s="1" t="s">
        <v>562</v>
      </c>
      <c r="E329" s="1">
        <v>14</v>
      </c>
      <c r="F329" s="1" t="s">
        <v>150</v>
      </c>
      <c r="G329" s="2" t="s">
        <v>108</v>
      </c>
      <c r="H329" s="1" t="s">
        <v>540</v>
      </c>
      <c r="I329" s="2" t="str">
        <f t="shared" si="317"/>
        <v>24</v>
      </c>
      <c r="J329" s="2" t="str">
        <f t="shared" si="318"/>
        <v>20</v>
      </c>
      <c r="K329" s="1">
        <f t="shared" si="319"/>
        <v>4</v>
      </c>
      <c r="M329" t="s">
        <v>24</v>
      </c>
      <c r="N329" t="s">
        <v>19</v>
      </c>
      <c r="O329" t="s">
        <v>321</v>
      </c>
    </row>
    <row r="330" spans="1:23" ht="14.25" customHeight="1">
      <c r="A330" s="5" t="str">
        <f t="shared" si="320"/>
        <v>515771</v>
      </c>
      <c r="B330" s="2" t="s">
        <v>563</v>
      </c>
      <c r="C330" s="1">
        <v>2510</v>
      </c>
      <c r="D330" s="1" t="s">
        <v>564</v>
      </c>
      <c r="E330" s="1">
        <v>4</v>
      </c>
      <c r="F330" s="1" t="s">
        <v>150</v>
      </c>
      <c r="G330" s="2" t="s">
        <v>108</v>
      </c>
      <c r="H330" s="1" t="s">
        <v>540</v>
      </c>
      <c r="I330" s="2" t="str">
        <f t="shared" si="317"/>
        <v>24</v>
      </c>
      <c r="J330" s="2" t="str">
        <f t="shared" si="318"/>
        <v>20</v>
      </c>
      <c r="K330" s="1">
        <f t="shared" si="319"/>
        <v>4</v>
      </c>
      <c r="M330" t="s">
        <v>24</v>
      </c>
      <c r="N330" t="s">
        <v>19</v>
      </c>
      <c r="O330" t="s">
        <v>321</v>
      </c>
    </row>
    <row r="331" spans="1:23" ht="14.25" customHeight="1">
      <c r="A331" s="5" t="str">
        <f t="shared" si="320"/>
        <v>500528</v>
      </c>
      <c r="B331" s="2" t="s">
        <v>565</v>
      </c>
      <c r="C331" s="1">
        <v>2510</v>
      </c>
      <c r="D331" s="1" t="s">
        <v>566</v>
      </c>
      <c r="E331" s="1">
        <v>1</v>
      </c>
      <c r="F331" s="1" t="s">
        <v>100</v>
      </c>
      <c r="G331" s="2" t="s">
        <v>100</v>
      </c>
      <c r="H331" s="1" t="s">
        <v>540</v>
      </c>
      <c r="I331" s="2" t="str">
        <f t="shared" si="317"/>
        <v>19</v>
      </c>
      <c r="J331" s="2" t="str">
        <f t="shared" si="318"/>
        <v>19</v>
      </c>
      <c r="K331" s="1">
        <f t="shared" si="319"/>
        <v>0</v>
      </c>
      <c r="M331" t="s">
        <v>18</v>
      </c>
      <c r="N331" t="s">
        <v>19</v>
      </c>
      <c r="O331" t="s">
        <v>321</v>
      </c>
    </row>
    <row r="332" spans="1:23" ht="14.25" customHeight="1">
      <c r="A332" s="5" t="str">
        <f t="shared" si="320"/>
        <v>500528</v>
      </c>
      <c r="B332" s="2" t="s">
        <v>567</v>
      </c>
      <c r="C332" s="1">
        <v>2510</v>
      </c>
      <c r="D332" s="1" t="s">
        <v>566</v>
      </c>
      <c r="E332" s="1">
        <v>1</v>
      </c>
      <c r="F332" s="1" t="s">
        <v>108</v>
      </c>
      <c r="G332" s="2" t="s">
        <v>100</v>
      </c>
      <c r="H332" s="1" t="s">
        <v>540</v>
      </c>
      <c r="I332" s="2" t="str">
        <f t="shared" si="317"/>
        <v>20</v>
      </c>
      <c r="J332" s="2" t="str">
        <f t="shared" si="318"/>
        <v>19</v>
      </c>
      <c r="K332" s="1">
        <f t="shared" si="319"/>
        <v>1</v>
      </c>
      <c r="M332" t="s">
        <v>18</v>
      </c>
      <c r="N332" t="s">
        <v>19</v>
      </c>
      <c r="O332" t="s">
        <v>321</v>
      </c>
    </row>
    <row r="333" spans="1:23" ht="14.25" customHeight="1">
      <c r="A333" s="5" t="str">
        <f t="shared" si="320"/>
        <v>517374</v>
      </c>
      <c r="B333" s="2" t="s">
        <v>568</v>
      </c>
      <c r="C333" s="1">
        <v>2510</v>
      </c>
      <c r="D333" s="1" t="s">
        <v>569</v>
      </c>
      <c r="E333" s="1">
        <v>14</v>
      </c>
      <c r="F333" s="1" t="s">
        <v>137</v>
      </c>
      <c r="G333" s="2" t="s">
        <v>33</v>
      </c>
      <c r="H333" s="1" t="s">
        <v>570</v>
      </c>
      <c r="I333" s="2" t="str">
        <f t="shared" si="317"/>
        <v>23</v>
      </c>
      <c r="J333" s="2" t="str">
        <f t="shared" si="318"/>
        <v>16</v>
      </c>
      <c r="K333" s="1">
        <f t="shared" si="319"/>
        <v>7</v>
      </c>
      <c r="M333" t="s">
        <v>18</v>
      </c>
      <c r="N333" t="s">
        <v>19</v>
      </c>
      <c r="O333" t="s">
        <v>570</v>
      </c>
    </row>
    <row r="334" spans="1:23" ht="14.25" customHeight="1">
      <c r="A334" s="5" t="str">
        <f t="shared" si="320"/>
        <v>515465</v>
      </c>
      <c r="B334" s="2" t="s">
        <v>571</v>
      </c>
      <c r="C334" s="1">
        <v>2510</v>
      </c>
      <c r="D334" s="1" t="s">
        <v>572</v>
      </c>
      <c r="E334" s="1">
        <v>1</v>
      </c>
      <c r="F334" s="1" t="s">
        <v>142</v>
      </c>
      <c r="G334" s="2" t="s">
        <v>113</v>
      </c>
      <c r="H334" s="1" t="s">
        <v>540</v>
      </c>
      <c r="I334" s="2" t="str">
        <f t="shared" si="317"/>
        <v>22</v>
      </c>
      <c r="J334" s="2" t="str">
        <f t="shared" si="318"/>
        <v>21</v>
      </c>
      <c r="K334" s="1">
        <f t="shared" si="319"/>
        <v>1</v>
      </c>
      <c r="M334" t="s">
        <v>27</v>
      </c>
      <c r="N334" t="s">
        <v>19</v>
      </c>
      <c r="O334" t="s">
        <v>321</v>
      </c>
    </row>
    <row r="335" spans="1:23" ht="14.25" customHeight="1">
      <c r="A335" s="5" t="str">
        <f t="shared" si="320"/>
        <v>514140</v>
      </c>
      <c r="B335" s="2" t="s">
        <v>573</v>
      </c>
      <c r="C335" s="1">
        <v>2510</v>
      </c>
      <c r="D335" s="1" t="s">
        <v>574</v>
      </c>
      <c r="E335" s="1">
        <v>4</v>
      </c>
      <c r="F335" s="1" t="s">
        <v>137</v>
      </c>
      <c r="G335" s="2" t="s">
        <v>108</v>
      </c>
      <c r="H335" s="1" t="s">
        <v>540</v>
      </c>
      <c r="I335" s="2" t="str">
        <f t="shared" si="317"/>
        <v>23</v>
      </c>
      <c r="J335" s="2" t="str">
        <f t="shared" si="318"/>
        <v>20</v>
      </c>
      <c r="K335" s="1">
        <f t="shared" si="319"/>
        <v>3</v>
      </c>
      <c r="M335" t="s">
        <v>18</v>
      </c>
      <c r="N335" t="s">
        <v>19</v>
      </c>
      <c r="O335" t="s">
        <v>321</v>
      </c>
    </row>
    <row r="336" spans="1:23" ht="14.25" customHeight="1">
      <c r="A336" s="5" t="str">
        <f t="shared" si="320"/>
        <v>515511</v>
      </c>
      <c r="B336" s="2" t="s">
        <v>575</v>
      </c>
      <c r="C336" s="1">
        <v>2510</v>
      </c>
      <c r="D336" s="1" t="s">
        <v>576</v>
      </c>
      <c r="E336" s="1">
        <v>1</v>
      </c>
      <c r="F336" s="1" t="s">
        <v>150</v>
      </c>
      <c r="G336" s="2" t="s">
        <v>137</v>
      </c>
      <c r="H336" s="1" t="s">
        <v>540</v>
      </c>
      <c r="I336" s="2" t="str">
        <f t="shared" si="317"/>
        <v>24</v>
      </c>
      <c r="J336" s="2" t="str">
        <f t="shared" si="318"/>
        <v>23</v>
      </c>
      <c r="K336" s="1">
        <f t="shared" si="319"/>
        <v>1</v>
      </c>
      <c r="M336" t="s">
        <v>27</v>
      </c>
      <c r="N336" t="s">
        <v>19</v>
      </c>
      <c r="O336" t="s">
        <v>321</v>
      </c>
    </row>
    <row r="337" spans="1:15" ht="14.25" customHeight="1">
      <c r="A337" s="5" t="str">
        <f t="shared" si="320"/>
        <v>544948</v>
      </c>
      <c r="B337" s="2" t="s">
        <v>577</v>
      </c>
      <c r="C337" s="1">
        <v>2510</v>
      </c>
      <c r="D337" s="1" t="s">
        <v>578</v>
      </c>
      <c r="E337" s="1">
        <v>2</v>
      </c>
      <c r="F337" s="1" t="s">
        <v>193</v>
      </c>
      <c r="G337" s="2" t="s">
        <v>150</v>
      </c>
      <c r="H337" s="1" t="s">
        <v>540</v>
      </c>
      <c r="I337" s="2" t="str">
        <f t="shared" si="317"/>
        <v>26</v>
      </c>
      <c r="J337" s="2" t="str">
        <f t="shared" si="318"/>
        <v>24</v>
      </c>
      <c r="K337" s="1">
        <f t="shared" si="319"/>
        <v>2</v>
      </c>
      <c r="M337" t="s">
        <v>18</v>
      </c>
      <c r="N337" t="s">
        <v>19</v>
      </c>
      <c r="O337" t="s">
        <v>321</v>
      </c>
    </row>
    <row r="338" spans="1:15" ht="14.25" customHeight="1">
      <c r="A338" s="5" t="str">
        <f t="shared" si="320"/>
        <v>515465</v>
      </c>
      <c r="B338" s="2" t="s">
        <v>579</v>
      </c>
      <c r="C338" s="1">
        <v>2510</v>
      </c>
      <c r="D338" s="1" t="s">
        <v>572</v>
      </c>
      <c r="E338" s="1">
        <v>2</v>
      </c>
      <c r="F338" s="1" t="s">
        <v>549</v>
      </c>
      <c r="G338" s="2" t="s">
        <v>212</v>
      </c>
      <c r="H338" s="1" t="s">
        <v>540</v>
      </c>
      <c r="I338" s="2" t="str">
        <f t="shared" si="317"/>
        <v>29</v>
      </c>
      <c r="J338" s="2" t="str">
        <f t="shared" si="318"/>
        <v>27</v>
      </c>
      <c r="K338" s="1">
        <f t="shared" si="319"/>
        <v>2</v>
      </c>
      <c r="M338" t="s">
        <v>27</v>
      </c>
      <c r="N338" t="s">
        <v>19</v>
      </c>
      <c r="O338" t="s">
        <v>321</v>
      </c>
    </row>
    <row r="339" spans="1:15" ht="14.25" customHeight="1">
      <c r="A339" s="5" t="str">
        <f t="shared" si="320"/>
        <v>495955</v>
      </c>
      <c r="B339" s="2" t="s">
        <v>580</v>
      </c>
      <c r="C339" s="1">
        <v>2510</v>
      </c>
      <c r="D339" s="1" t="s">
        <v>581</v>
      </c>
      <c r="E339" s="1">
        <v>18</v>
      </c>
      <c r="F339" s="1" t="s">
        <v>100</v>
      </c>
      <c r="G339" s="2" t="s">
        <v>81</v>
      </c>
      <c r="H339" s="1" t="s">
        <v>540</v>
      </c>
      <c r="I339" s="2" t="str">
        <f t="shared" si="317"/>
        <v>19</v>
      </c>
      <c r="J339" s="2" t="str">
        <f t="shared" si="318"/>
        <v>18</v>
      </c>
      <c r="K339" s="1">
        <f t="shared" si="319"/>
        <v>1</v>
      </c>
      <c r="M339" t="s">
        <v>24</v>
      </c>
      <c r="N339" t="s">
        <v>19</v>
      </c>
      <c r="O339" t="s">
        <v>321</v>
      </c>
    </row>
    <row r="340" spans="1:15" ht="14.25" customHeight="1">
      <c r="A340" s="5" t="str">
        <f t="shared" si="320"/>
        <v>520365</v>
      </c>
      <c r="B340" s="2" t="s">
        <v>582</v>
      </c>
      <c r="C340" s="1">
        <v>2510</v>
      </c>
      <c r="D340" s="1" t="s">
        <v>583</v>
      </c>
      <c r="E340" s="1">
        <v>2</v>
      </c>
      <c r="F340" s="1" t="s">
        <v>100</v>
      </c>
      <c r="G340" s="2" t="s">
        <v>81</v>
      </c>
      <c r="H340" s="1" t="s">
        <v>540</v>
      </c>
      <c r="I340" s="2" t="str">
        <f t="shared" si="317"/>
        <v>19</v>
      </c>
      <c r="J340" s="2" t="str">
        <f t="shared" si="318"/>
        <v>18</v>
      </c>
      <c r="K340" s="1">
        <f t="shared" si="319"/>
        <v>1</v>
      </c>
      <c r="M340" t="s">
        <v>24</v>
      </c>
      <c r="N340" t="s">
        <v>19</v>
      </c>
      <c r="O340" t="s">
        <v>321</v>
      </c>
    </row>
    <row r="341" spans="1:15" ht="14.25" customHeight="1">
      <c r="A341" s="5" t="str">
        <f t="shared" si="320"/>
        <v>520374</v>
      </c>
      <c r="B341" s="2" t="s">
        <v>584</v>
      </c>
      <c r="C341" s="1">
        <v>2510</v>
      </c>
      <c r="D341" s="1" t="s">
        <v>585</v>
      </c>
      <c r="E341" s="1">
        <v>2</v>
      </c>
      <c r="F341" s="1" t="s">
        <v>100</v>
      </c>
      <c r="G341" s="2" t="s">
        <v>81</v>
      </c>
      <c r="H341" s="1" t="s">
        <v>540</v>
      </c>
      <c r="I341" s="2" t="str">
        <f t="shared" si="317"/>
        <v>19</v>
      </c>
      <c r="J341" s="2" t="str">
        <f t="shared" si="318"/>
        <v>18</v>
      </c>
      <c r="K341" s="1">
        <f t="shared" si="319"/>
        <v>1</v>
      </c>
      <c r="M341" t="s">
        <v>24</v>
      </c>
      <c r="N341" t="s">
        <v>19</v>
      </c>
      <c r="O341" t="s">
        <v>321</v>
      </c>
    </row>
    <row r="342" spans="1:15" ht="14.25" customHeight="1">
      <c r="A342" s="5" t="str">
        <f t="shared" si="320"/>
        <v>525154</v>
      </c>
      <c r="B342" s="2" t="s">
        <v>586</v>
      </c>
      <c r="C342" s="1">
        <v>2510</v>
      </c>
      <c r="D342" s="1" t="s">
        <v>587</v>
      </c>
      <c r="E342" s="1">
        <v>6</v>
      </c>
      <c r="F342" s="1" t="s">
        <v>100</v>
      </c>
      <c r="G342" s="2" t="s">
        <v>81</v>
      </c>
      <c r="H342" s="1" t="s">
        <v>540</v>
      </c>
      <c r="I342" s="2" t="str">
        <f t="shared" si="317"/>
        <v>19</v>
      </c>
      <c r="J342" s="2" t="str">
        <f t="shared" si="318"/>
        <v>18</v>
      </c>
      <c r="K342" s="1">
        <f t="shared" si="319"/>
        <v>1</v>
      </c>
      <c r="M342" t="s">
        <v>24</v>
      </c>
      <c r="N342" t="s">
        <v>19</v>
      </c>
      <c r="O342" t="s">
        <v>321</v>
      </c>
    </row>
    <row r="343" spans="1:15" ht="14.25" customHeight="1">
      <c r="A343" s="5" t="str">
        <f t="shared" si="320"/>
        <v>525154</v>
      </c>
      <c r="B343" s="2" t="s">
        <v>588</v>
      </c>
      <c r="C343" s="1">
        <v>2510</v>
      </c>
      <c r="D343" s="1" t="s">
        <v>587</v>
      </c>
      <c r="E343" s="1">
        <v>3</v>
      </c>
      <c r="F343" s="1" t="s">
        <v>100</v>
      </c>
      <c r="G343" s="2" t="s">
        <v>81</v>
      </c>
      <c r="H343" s="1" t="s">
        <v>540</v>
      </c>
      <c r="I343" s="2" t="str">
        <f t="shared" si="317"/>
        <v>19</v>
      </c>
      <c r="J343" s="2" t="str">
        <f t="shared" si="318"/>
        <v>18</v>
      </c>
      <c r="K343" s="1">
        <f t="shared" si="319"/>
        <v>1</v>
      </c>
      <c r="M343" t="s">
        <v>24</v>
      </c>
      <c r="N343" t="s">
        <v>19</v>
      </c>
      <c r="O343" t="s">
        <v>321</v>
      </c>
    </row>
    <row r="344" spans="1:15" ht="14.25" customHeight="1">
      <c r="A344" s="5" t="str">
        <f t="shared" si="320"/>
        <v>525154</v>
      </c>
      <c r="B344" s="2" t="s">
        <v>589</v>
      </c>
      <c r="C344" s="1">
        <v>2510</v>
      </c>
      <c r="D344" s="1" t="s">
        <v>587</v>
      </c>
      <c r="E344" s="1">
        <v>4</v>
      </c>
      <c r="F344" s="1" t="s">
        <v>108</v>
      </c>
      <c r="G344" s="2" t="s">
        <v>100</v>
      </c>
      <c r="H344" s="1" t="s">
        <v>540</v>
      </c>
      <c r="I344" s="2" t="str">
        <f t="shared" si="317"/>
        <v>20</v>
      </c>
      <c r="J344" s="2" t="str">
        <f t="shared" si="318"/>
        <v>19</v>
      </c>
      <c r="K344" s="1">
        <f t="shared" si="319"/>
        <v>1</v>
      </c>
      <c r="M344" t="s">
        <v>24</v>
      </c>
      <c r="N344" t="s">
        <v>19</v>
      </c>
      <c r="O344" t="s">
        <v>321</v>
      </c>
    </row>
    <row r="345" spans="1:15" ht="14.25" customHeight="1">
      <c r="A345" s="5" t="str">
        <f t="shared" si="320"/>
        <v>525154</v>
      </c>
      <c r="B345" s="2" t="s">
        <v>590</v>
      </c>
      <c r="C345" s="1">
        <v>2510</v>
      </c>
      <c r="D345" s="1" t="s">
        <v>587</v>
      </c>
      <c r="E345" s="1">
        <v>1</v>
      </c>
      <c r="F345" s="1" t="s">
        <v>108</v>
      </c>
      <c r="G345" s="2" t="s">
        <v>100</v>
      </c>
      <c r="H345" s="1" t="s">
        <v>540</v>
      </c>
      <c r="I345" s="2" t="str">
        <f t="shared" si="317"/>
        <v>20</v>
      </c>
      <c r="J345" s="2" t="str">
        <f t="shared" si="318"/>
        <v>19</v>
      </c>
      <c r="K345" s="1">
        <f t="shared" si="319"/>
        <v>1</v>
      </c>
      <c r="M345" t="s">
        <v>24</v>
      </c>
      <c r="N345" t="s">
        <v>19</v>
      </c>
      <c r="O345" t="s">
        <v>321</v>
      </c>
    </row>
    <row r="346" spans="1:15" ht="14.25" customHeight="1">
      <c r="A346" s="5" t="str">
        <f t="shared" si="320"/>
        <v>495957</v>
      </c>
      <c r="B346" s="2" t="s">
        <v>591</v>
      </c>
      <c r="C346" s="1">
        <v>2510</v>
      </c>
      <c r="D346" s="1" t="s">
        <v>438</v>
      </c>
      <c r="E346" s="1">
        <v>1</v>
      </c>
      <c r="F346" s="1" t="s">
        <v>113</v>
      </c>
      <c r="G346" s="2" t="s">
        <v>108</v>
      </c>
      <c r="H346" s="1" t="s">
        <v>540</v>
      </c>
      <c r="I346" s="2" t="str">
        <f t="shared" si="317"/>
        <v>21</v>
      </c>
      <c r="J346" s="2" t="str">
        <f t="shared" si="318"/>
        <v>20</v>
      </c>
      <c r="K346" s="1">
        <f t="shared" si="319"/>
        <v>1</v>
      </c>
      <c r="M346" t="s">
        <v>18</v>
      </c>
      <c r="N346" t="s">
        <v>19</v>
      </c>
      <c r="O346" t="s">
        <v>321</v>
      </c>
    </row>
    <row r="347" spans="1:15" ht="14.25" customHeight="1">
      <c r="A347" s="5" t="str">
        <f t="shared" si="320"/>
        <v>493738</v>
      </c>
      <c r="B347" s="2" t="s">
        <v>592</v>
      </c>
      <c r="C347" s="1">
        <v>2510</v>
      </c>
      <c r="D347" s="1" t="s">
        <v>593</v>
      </c>
      <c r="E347" s="1">
        <v>1</v>
      </c>
      <c r="F347" s="1" t="s">
        <v>142</v>
      </c>
      <c r="G347" s="2" t="s">
        <v>142</v>
      </c>
      <c r="H347" s="1" t="s">
        <v>540</v>
      </c>
      <c r="I347" s="2" t="str">
        <f t="shared" si="317"/>
        <v>22</v>
      </c>
      <c r="J347" s="2" t="str">
        <f t="shared" si="318"/>
        <v>22</v>
      </c>
      <c r="K347" s="1">
        <f t="shared" si="319"/>
        <v>0</v>
      </c>
      <c r="M347" t="s">
        <v>18</v>
      </c>
      <c r="N347" t="s">
        <v>19</v>
      </c>
      <c r="O347" t="s">
        <v>321</v>
      </c>
    </row>
    <row r="348" spans="1:15" ht="14.25" customHeight="1">
      <c r="A348" s="5" t="str">
        <f t="shared" si="320"/>
        <v>525154</v>
      </c>
      <c r="B348" s="2" t="s">
        <v>594</v>
      </c>
      <c r="C348" s="1">
        <v>2510</v>
      </c>
      <c r="D348" s="1" t="s">
        <v>587</v>
      </c>
      <c r="E348" s="1">
        <v>8</v>
      </c>
      <c r="F348" s="1" t="s">
        <v>204</v>
      </c>
      <c r="G348" s="2" t="s">
        <v>150</v>
      </c>
      <c r="H348" s="1" t="s">
        <v>540</v>
      </c>
      <c r="I348" s="2" t="str">
        <f t="shared" si="317"/>
        <v>25</v>
      </c>
      <c r="J348" s="2" t="str">
        <f t="shared" si="318"/>
        <v>24</v>
      </c>
      <c r="K348" s="1">
        <f t="shared" si="319"/>
        <v>1</v>
      </c>
      <c r="M348" t="s">
        <v>24</v>
      </c>
      <c r="N348" t="s">
        <v>19</v>
      </c>
      <c r="O348" t="s">
        <v>321</v>
      </c>
    </row>
    <row r="349" spans="1:15" ht="14.25" customHeight="1">
      <c r="A349" s="5" t="str">
        <f t="shared" si="320"/>
        <v>525154</v>
      </c>
      <c r="B349" s="2" t="s">
        <v>595</v>
      </c>
      <c r="C349" s="1">
        <v>2510</v>
      </c>
      <c r="D349" s="1" t="s">
        <v>587</v>
      </c>
      <c r="E349" s="1">
        <v>6</v>
      </c>
      <c r="F349" s="1" t="s">
        <v>212</v>
      </c>
      <c r="G349" s="2" t="s">
        <v>193</v>
      </c>
      <c r="H349" s="1" t="s">
        <v>540</v>
      </c>
      <c r="I349" s="2" t="str">
        <f t="shared" si="317"/>
        <v>27</v>
      </c>
      <c r="J349" s="2" t="str">
        <f t="shared" si="318"/>
        <v>26</v>
      </c>
      <c r="K349" s="1">
        <f t="shared" si="319"/>
        <v>1</v>
      </c>
      <c r="M349" t="s">
        <v>24</v>
      </c>
      <c r="N349" t="s">
        <v>19</v>
      </c>
      <c r="O349" t="s">
        <v>321</v>
      </c>
    </row>
    <row r="350" spans="1:15" ht="14.25" customHeight="1">
      <c r="A350" s="5" t="str">
        <f t="shared" si="320"/>
        <v>483902</v>
      </c>
      <c r="B350" s="2" t="s">
        <v>596</v>
      </c>
      <c r="C350" s="1">
        <v>2510</v>
      </c>
      <c r="D350" s="1" t="s">
        <v>597</v>
      </c>
      <c r="E350" s="1">
        <v>1</v>
      </c>
      <c r="F350" s="1" t="s">
        <v>142</v>
      </c>
      <c r="G350" s="2" t="s">
        <v>142</v>
      </c>
      <c r="H350" s="1" t="s">
        <v>17</v>
      </c>
      <c r="I350" s="2" t="str">
        <f t="shared" si="317"/>
        <v>22</v>
      </c>
      <c r="J350" s="2" t="str">
        <f t="shared" si="318"/>
        <v>22</v>
      </c>
      <c r="K350" s="1">
        <f t="shared" si="319"/>
        <v>0</v>
      </c>
      <c r="M350" t="s">
        <v>18</v>
      </c>
      <c r="N350" t="s">
        <v>19</v>
      </c>
      <c r="O350" t="s">
        <v>20</v>
      </c>
    </row>
    <row r="351" spans="1:15" ht="14.25" customHeight="1">
      <c r="A351" s="5" t="str">
        <f t="shared" si="320"/>
        <v>487907</v>
      </c>
      <c r="B351" s="2" t="s">
        <v>598</v>
      </c>
      <c r="C351" s="1">
        <v>2510</v>
      </c>
      <c r="D351" s="1" t="s">
        <v>599</v>
      </c>
      <c r="E351" s="1">
        <v>4</v>
      </c>
      <c r="F351" s="1" t="s">
        <v>108</v>
      </c>
      <c r="G351" s="2" t="s">
        <v>100</v>
      </c>
      <c r="H351" s="1" t="s">
        <v>17</v>
      </c>
      <c r="I351" s="2" t="str">
        <f t="shared" si="317"/>
        <v>20</v>
      </c>
      <c r="J351" s="2" t="str">
        <f t="shared" si="318"/>
        <v>19</v>
      </c>
      <c r="K351" s="1">
        <f t="shared" si="319"/>
        <v>1</v>
      </c>
      <c r="M351" t="s">
        <v>600</v>
      </c>
      <c r="N351" t="s">
        <v>19</v>
      </c>
      <c r="O351" t="s">
        <v>20</v>
      </c>
    </row>
    <row r="352" spans="1:15" ht="14.25" customHeight="1">
      <c r="A352" s="5" t="str">
        <f t="shared" si="320"/>
        <v>487907</v>
      </c>
      <c r="B352" s="2" t="s">
        <v>601</v>
      </c>
      <c r="C352" s="1">
        <v>2510</v>
      </c>
      <c r="D352" s="1" t="s">
        <v>599</v>
      </c>
      <c r="E352" s="1">
        <v>22</v>
      </c>
      <c r="F352" s="1" t="s">
        <v>108</v>
      </c>
      <c r="G352" s="2" t="s">
        <v>100</v>
      </c>
      <c r="H352" s="1" t="s">
        <v>17</v>
      </c>
      <c r="I352" s="2" t="str">
        <f t="shared" si="317"/>
        <v>20</v>
      </c>
      <c r="J352" s="2" t="str">
        <f t="shared" si="318"/>
        <v>19</v>
      </c>
      <c r="K352" s="1">
        <f t="shared" si="319"/>
        <v>1</v>
      </c>
      <c r="M352" t="s">
        <v>600</v>
      </c>
      <c r="N352" t="s">
        <v>19</v>
      </c>
      <c r="O352" t="s">
        <v>20</v>
      </c>
    </row>
    <row r="353" spans="1:15" ht="14.25" customHeight="1">
      <c r="A353" s="5" t="str">
        <f t="shared" si="320"/>
        <v>487907</v>
      </c>
      <c r="B353" s="2" t="s">
        <v>602</v>
      </c>
      <c r="C353" s="1">
        <v>2510</v>
      </c>
      <c r="D353" s="1" t="s">
        <v>599</v>
      </c>
      <c r="E353" s="1">
        <v>6</v>
      </c>
      <c r="F353" s="1" t="s">
        <v>108</v>
      </c>
      <c r="G353" s="2" t="s">
        <v>100</v>
      </c>
      <c r="H353" s="1" t="s">
        <v>17</v>
      </c>
      <c r="I353" s="2" t="str">
        <f t="shared" si="317"/>
        <v>20</v>
      </c>
      <c r="J353" s="2" t="str">
        <f t="shared" si="318"/>
        <v>19</v>
      </c>
      <c r="K353" s="1">
        <f t="shared" si="319"/>
        <v>1</v>
      </c>
      <c r="M353" t="s">
        <v>600</v>
      </c>
      <c r="N353" t="s">
        <v>19</v>
      </c>
      <c r="O353" t="s">
        <v>20</v>
      </c>
    </row>
    <row r="354" spans="1:15" ht="14.25" customHeight="1">
      <c r="A354" s="5" t="str">
        <f t="shared" si="320"/>
        <v>487907</v>
      </c>
      <c r="B354" s="2" t="s">
        <v>603</v>
      </c>
      <c r="C354" s="1">
        <v>2510</v>
      </c>
      <c r="D354" s="1" t="s">
        <v>599</v>
      </c>
      <c r="E354" s="1">
        <v>4</v>
      </c>
      <c r="F354" s="1" t="s">
        <v>108</v>
      </c>
      <c r="G354" s="2" t="s">
        <v>100</v>
      </c>
      <c r="H354" s="1" t="s">
        <v>17</v>
      </c>
      <c r="I354" s="2" t="str">
        <f t="shared" si="317"/>
        <v>20</v>
      </c>
      <c r="J354" s="2" t="str">
        <f t="shared" si="318"/>
        <v>19</v>
      </c>
      <c r="K354" s="1">
        <f t="shared" si="319"/>
        <v>1</v>
      </c>
      <c r="M354" t="s">
        <v>600</v>
      </c>
      <c r="N354" t="s">
        <v>19</v>
      </c>
      <c r="O354" t="s">
        <v>20</v>
      </c>
    </row>
    <row r="355" spans="1:15" ht="14.25" customHeight="1">
      <c r="A355" s="5" t="str">
        <f t="shared" si="320"/>
        <v>514889</v>
      </c>
      <c r="B355" s="2" t="s">
        <v>604</v>
      </c>
      <c r="C355" s="1">
        <v>2510</v>
      </c>
      <c r="D355" s="1" t="s">
        <v>605</v>
      </c>
      <c r="E355" s="1">
        <v>1</v>
      </c>
      <c r="F355" s="1" t="s">
        <v>142</v>
      </c>
      <c r="G355" s="2" t="s">
        <v>113</v>
      </c>
      <c r="H355" s="1" t="s">
        <v>17</v>
      </c>
      <c r="I355" s="2" t="str">
        <f t="shared" si="317"/>
        <v>22</v>
      </c>
      <c r="J355" s="2" t="str">
        <f t="shared" si="318"/>
        <v>21</v>
      </c>
      <c r="K355" s="1">
        <f t="shared" si="319"/>
        <v>1</v>
      </c>
      <c r="M355" t="s">
        <v>600</v>
      </c>
      <c r="N355" t="s">
        <v>19</v>
      </c>
      <c r="O355" t="s">
        <v>20</v>
      </c>
    </row>
    <row r="356" spans="1:15" ht="14.25" customHeight="1">
      <c r="A356" s="5" t="str">
        <f t="shared" si="320"/>
        <v>514890</v>
      </c>
      <c r="B356" s="2" t="s">
        <v>606</v>
      </c>
      <c r="C356" s="1">
        <v>2510</v>
      </c>
      <c r="D356" s="1" t="s">
        <v>607</v>
      </c>
      <c r="E356" s="1">
        <v>1</v>
      </c>
      <c r="F356" s="1" t="s">
        <v>142</v>
      </c>
      <c r="G356" s="2" t="s">
        <v>100</v>
      </c>
      <c r="H356" s="1" t="s">
        <v>17</v>
      </c>
      <c r="I356" s="2" t="str">
        <f t="shared" si="317"/>
        <v>22</v>
      </c>
      <c r="J356" s="2" t="str">
        <f t="shared" si="318"/>
        <v>19</v>
      </c>
      <c r="K356" s="1">
        <f t="shared" si="319"/>
        <v>3</v>
      </c>
      <c r="M356" t="s">
        <v>600</v>
      </c>
      <c r="N356" t="s">
        <v>19</v>
      </c>
      <c r="O356" t="s">
        <v>20</v>
      </c>
    </row>
    <row r="357" spans="1:15" ht="14.25" customHeight="1">
      <c r="A357" s="5" t="str">
        <f t="shared" si="320"/>
        <v>514890</v>
      </c>
      <c r="B357" s="2" t="s">
        <v>606</v>
      </c>
      <c r="C357" s="1">
        <v>2510</v>
      </c>
      <c r="D357" s="1" t="s">
        <v>608</v>
      </c>
      <c r="E357" s="1">
        <v>1</v>
      </c>
      <c r="F357" s="1" t="s">
        <v>142</v>
      </c>
      <c r="G357" s="2" t="s">
        <v>100</v>
      </c>
      <c r="H357" s="1" t="s">
        <v>17</v>
      </c>
      <c r="I357" s="2" t="str">
        <f t="shared" si="317"/>
        <v>22</v>
      </c>
      <c r="J357" s="2" t="str">
        <f t="shared" si="318"/>
        <v>19</v>
      </c>
      <c r="K357" s="1">
        <f t="shared" si="319"/>
        <v>3</v>
      </c>
      <c r="M357" t="s">
        <v>600</v>
      </c>
      <c r="N357" t="s">
        <v>19</v>
      </c>
      <c r="O357" t="s">
        <v>20</v>
      </c>
    </row>
    <row r="358" spans="1:15" ht="14.25" customHeight="1">
      <c r="A358" s="5" t="str">
        <f t="shared" si="320"/>
        <v>514891</v>
      </c>
      <c r="B358" s="2" t="s">
        <v>609</v>
      </c>
      <c r="C358" s="1">
        <v>2510</v>
      </c>
      <c r="D358" s="1" t="s">
        <v>610</v>
      </c>
      <c r="E358" s="1">
        <v>1</v>
      </c>
      <c r="F358" s="1" t="s">
        <v>142</v>
      </c>
      <c r="G358" s="2" t="s">
        <v>100</v>
      </c>
      <c r="H358" s="1" t="s">
        <v>17</v>
      </c>
      <c r="I358" s="2" t="str">
        <f t="shared" si="317"/>
        <v>22</v>
      </c>
      <c r="J358" s="2" t="str">
        <f t="shared" si="318"/>
        <v>19</v>
      </c>
      <c r="K358" s="1">
        <f t="shared" si="319"/>
        <v>3</v>
      </c>
      <c r="M358" t="s">
        <v>600</v>
      </c>
      <c r="N358" t="s">
        <v>19</v>
      </c>
      <c r="O358" t="s">
        <v>20</v>
      </c>
    </row>
    <row r="359" spans="1:15" ht="14.25" customHeight="1">
      <c r="A359" s="5" t="str">
        <f t="shared" si="320"/>
        <v>517016</v>
      </c>
      <c r="B359" s="2" t="s">
        <v>611</v>
      </c>
      <c r="C359" s="1">
        <v>2510</v>
      </c>
      <c r="D359" s="1" t="s">
        <v>612</v>
      </c>
      <c r="E359" s="1">
        <v>1</v>
      </c>
      <c r="F359" s="1" t="s">
        <v>113</v>
      </c>
      <c r="G359" s="2" t="s">
        <v>100</v>
      </c>
      <c r="H359" s="1" t="s">
        <v>17</v>
      </c>
      <c r="I359" s="2" t="str">
        <f t="shared" si="317"/>
        <v>21</v>
      </c>
      <c r="J359" s="2" t="str">
        <f t="shared" si="318"/>
        <v>19</v>
      </c>
      <c r="K359" s="1">
        <f t="shared" si="319"/>
        <v>2</v>
      </c>
      <c r="M359" t="s">
        <v>245</v>
      </c>
      <c r="N359" t="s">
        <v>50</v>
      </c>
      <c r="O359" t="s">
        <v>20</v>
      </c>
    </row>
    <row r="360" spans="1:15" ht="14.25" customHeight="1">
      <c r="A360" s="5" t="str">
        <f t="shared" si="320"/>
        <v>517016</v>
      </c>
      <c r="B360" s="2" t="s">
        <v>613</v>
      </c>
      <c r="C360" s="1">
        <v>2510</v>
      </c>
      <c r="D360" s="1" t="s">
        <v>612</v>
      </c>
      <c r="E360" s="1">
        <v>1</v>
      </c>
      <c r="F360" s="1" t="s">
        <v>113</v>
      </c>
      <c r="G360" s="2" t="s">
        <v>100</v>
      </c>
      <c r="H360" s="1" t="s">
        <v>17</v>
      </c>
      <c r="I360" s="2" t="str">
        <f t="shared" si="317"/>
        <v>21</v>
      </c>
      <c r="J360" s="2" t="str">
        <f t="shared" si="318"/>
        <v>19</v>
      </c>
      <c r="K360" s="1">
        <f t="shared" si="319"/>
        <v>2</v>
      </c>
      <c r="M360" t="s">
        <v>245</v>
      </c>
      <c r="N360" t="s">
        <v>50</v>
      </c>
      <c r="O360" t="s">
        <v>20</v>
      </c>
    </row>
    <row r="361" spans="1:15" ht="14.25" customHeight="1">
      <c r="A361" s="5" t="str">
        <f t="shared" si="320"/>
        <v>519895</v>
      </c>
      <c r="B361" s="2" t="s">
        <v>614</v>
      </c>
      <c r="C361" s="1">
        <v>2510</v>
      </c>
      <c r="D361" s="1" t="s">
        <v>615</v>
      </c>
      <c r="E361" s="1">
        <v>1</v>
      </c>
      <c r="F361" s="1" t="s">
        <v>142</v>
      </c>
      <c r="G361" s="2" t="s">
        <v>113</v>
      </c>
      <c r="H361" s="1" t="s">
        <v>17</v>
      </c>
      <c r="I361" s="2" t="str">
        <f t="shared" si="317"/>
        <v>22</v>
      </c>
      <c r="J361" s="2" t="str">
        <f t="shared" si="318"/>
        <v>21</v>
      </c>
      <c r="K361" s="1">
        <f t="shared" si="319"/>
        <v>1</v>
      </c>
      <c r="M361" t="s">
        <v>18</v>
      </c>
      <c r="N361" t="s">
        <v>19</v>
      </c>
      <c r="O361" t="s">
        <v>20</v>
      </c>
    </row>
    <row r="362" spans="1:15" ht="14.25" customHeight="1">
      <c r="A362" s="5" t="str">
        <f t="shared" si="320"/>
        <v>519895</v>
      </c>
      <c r="B362" s="2" t="s">
        <v>616</v>
      </c>
      <c r="C362" s="1">
        <v>2510</v>
      </c>
      <c r="D362" s="1" t="s">
        <v>615</v>
      </c>
      <c r="E362" s="1">
        <v>1</v>
      </c>
      <c r="F362" s="1" t="s">
        <v>142</v>
      </c>
      <c r="G362" s="2" t="s">
        <v>113</v>
      </c>
      <c r="H362" s="1" t="s">
        <v>17</v>
      </c>
      <c r="I362" s="2" t="str">
        <f t="shared" si="317"/>
        <v>22</v>
      </c>
      <c r="J362" s="2" t="str">
        <f t="shared" si="318"/>
        <v>21</v>
      </c>
      <c r="K362" s="1">
        <f t="shared" si="319"/>
        <v>1</v>
      </c>
      <c r="M362" t="s">
        <v>18</v>
      </c>
      <c r="N362" t="s">
        <v>19</v>
      </c>
      <c r="O362" t="s">
        <v>20</v>
      </c>
    </row>
    <row r="363" spans="1:15" ht="14.25" customHeight="1">
      <c r="A363" s="5" t="str">
        <f t="shared" si="320"/>
        <v>540463</v>
      </c>
      <c r="B363" s="2" t="s">
        <v>617</v>
      </c>
      <c r="C363" s="1">
        <v>2510</v>
      </c>
      <c r="D363" s="1" t="s">
        <v>618</v>
      </c>
      <c r="E363" s="1">
        <v>4</v>
      </c>
      <c r="F363" s="1" t="s">
        <v>142</v>
      </c>
      <c r="G363" s="2" t="s">
        <v>108</v>
      </c>
      <c r="H363" s="1" t="s">
        <v>17</v>
      </c>
      <c r="I363" s="2" t="str">
        <f t="shared" si="317"/>
        <v>22</v>
      </c>
      <c r="J363" s="2" t="str">
        <f t="shared" si="318"/>
        <v>20</v>
      </c>
      <c r="K363" s="1">
        <f t="shared" si="319"/>
        <v>2</v>
      </c>
      <c r="M363" t="s">
        <v>18</v>
      </c>
      <c r="N363" t="s">
        <v>19</v>
      </c>
      <c r="O363" t="s">
        <v>20</v>
      </c>
    </row>
    <row r="364" spans="1:15" ht="14.25" customHeight="1">
      <c r="A364" s="5" t="str">
        <f t="shared" si="320"/>
        <v>540463</v>
      </c>
      <c r="B364" s="2" t="s">
        <v>619</v>
      </c>
      <c r="C364" s="1">
        <v>2510</v>
      </c>
      <c r="D364" s="1" t="s">
        <v>618</v>
      </c>
      <c r="E364" s="1">
        <v>2</v>
      </c>
      <c r="F364" s="1" t="s">
        <v>142</v>
      </c>
      <c r="G364" s="2" t="s">
        <v>108</v>
      </c>
      <c r="H364" s="1" t="s">
        <v>17</v>
      </c>
      <c r="I364" s="2" t="str">
        <f t="shared" si="317"/>
        <v>22</v>
      </c>
      <c r="J364" s="2" t="str">
        <f t="shared" si="318"/>
        <v>20</v>
      </c>
      <c r="K364" s="1">
        <f t="shared" si="319"/>
        <v>2</v>
      </c>
      <c r="M364" t="s">
        <v>18</v>
      </c>
      <c r="N364" t="s">
        <v>19</v>
      </c>
      <c r="O364" t="s">
        <v>20</v>
      </c>
    </row>
    <row r="365" spans="1:15" ht="14.25" customHeight="1">
      <c r="A365" s="5" t="str">
        <f t="shared" si="320"/>
        <v>540463</v>
      </c>
      <c r="B365" s="2" t="s">
        <v>620</v>
      </c>
      <c r="C365" s="1">
        <v>2510</v>
      </c>
      <c r="D365" s="1" t="s">
        <v>618</v>
      </c>
      <c r="E365" s="1">
        <v>1</v>
      </c>
      <c r="F365" s="1" t="s">
        <v>142</v>
      </c>
      <c r="G365" s="2" t="s">
        <v>108</v>
      </c>
      <c r="H365" s="1" t="s">
        <v>17</v>
      </c>
      <c r="I365" s="2" t="str">
        <f t="shared" si="317"/>
        <v>22</v>
      </c>
      <c r="J365" s="2" t="str">
        <f t="shared" si="318"/>
        <v>20</v>
      </c>
      <c r="K365" s="1">
        <f t="shared" si="319"/>
        <v>2</v>
      </c>
      <c r="M365" t="s">
        <v>18</v>
      </c>
      <c r="N365" t="s">
        <v>19</v>
      </c>
      <c r="O365" t="s">
        <v>20</v>
      </c>
    </row>
    <row r="366" spans="1:15" ht="14.25" customHeight="1">
      <c r="A366" s="5" t="str">
        <f t="shared" si="320"/>
        <v>486232</v>
      </c>
      <c r="B366" s="2" t="s">
        <v>621</v>
      </c>
      <c r="C366" s="1">
        <v>2510</v>
      </c>
      <c r="D366" s="1" t="s">
        <v>622</v>
      </c>
      <c r="E366" s="1">
        <v>3</v>
      </c>
      <c r="F366" s="1" t="s">
        <v>137</v>
      </c>
      <c r="G366" s="2" t="s">
        <v>142</v>
      </c>
      <c r="H366" s="1" t="s">
        <v>17</v>
      </c>
      <c r="I366" s="2" t="str">
        <f t="shared" si="317"/>
        <v>23</v>
      </c>
      <c r="J366" s="2" t="str">
        <f t="shared" si="318"/>
        <v>22</v>
      </c>
      <c r="K366" s="1">
        <f t="shared" si="319"/>
        <v>1</v>
      </c>
      <c r="M366" t="s">
        <v>24</v>
      </c>
      <c r="N366" t="s">
        <v>19</v>
      </c>
      <c r="O366" t="s">
        <v>20</v>
      </c>
    </row>
    <row r="367" spans="1:15" ht="14.25" customHeight="1">
      <c r="A367" s="5" t="str">
        <f t="shared" si="320"/>
        <v>486232</v>
      </c>
      <c r="B367" s="2" t="s">
        <v>623</v>
      </c>
      <c r="C367" s="1">
        <v>2510</v>
      </c>
      <c r="D367" s="1" t="s">
        <v>622</v>
      </c>
      <c r="E367" s="1">
        <v>4</v>
      </c>
      <c r="F367" s="1" t="s">
        <v>137</v>
      </c>
      <c r="G367" s="2" t="s">
        <v>142</v>
      </c>
      <c r="H367" s="1" t="s">
        <v>17</v>
      </c>
      <c r="I367" s="2" t="str">
        <f t="shared" si="317"/>
        <v>23</v>
      </c>
      <c r="J367" s="2" t="str">
        <f t="shared" si="318"/>
        <v>22</v>
      </c>
      <c r="K367" s="1">
        <f t="shared" si="319"/>
        <v>1</v>
      </c>
      <c r="M367" t="s">
        <v>24</v>
      </c>
      <c r="N367" t="s">
        <v>19</v>
      </c>
      <c r="O367" t="s">
        <v>20</v>
      </c>
    </row>
    <row r="368" spans="1:15" ht="14.25" customHeight="1">
      <c r="A368" s="5" t="str">
        <f t="shared" si="320"/>
        <v>486232</v>
      </c>
      <c r="B368" s="2" t="s">
        <v>624</v>
      </c>
      <c r="C368" s="1">
        <v>2510</v>
      </c>
      <c r="D368" s="1" t="s">
        <v>622</v>
      </c>
      <c r="E368" s="1">
        <v>6</v>
      </c>
      <c r="F368" s="1" t="s">
        <v>137</v>
      </c>
      <c r="G368" s="2" t="s">
        <v>142</v>
      </c>
      <c r="H368" s="1" t="s">
        <v>17</v>
      </c>
      <c r="I368" s="2" t="str">
        <f t="shared" si="317"/>
        <v>23</v>
      </c>
      <c r="J368" s="2" t="str">
        <f t="shared" si="318"/>
        <v>22</v>
      </c>
      <c r="K368" s="1">
        <f t="shared" si="319"/>
        <v>1</v>
      </c>
      <c r="M368" t="s">
        <v>24</v>
      </c>
      <c r="N368" t="s">
        <v>19</v>
      </c>
      <c r="O368" t="s">
        <v>20</v>
      </c>
    </row>
    <row r="369" spans="1:15" ht="14.25" customHeight="1">
      <c r="A369" s="5" t="str">
        <f t="shared" si="320"/>
        <v>487754</v>
      </c>
      <c r="B369" s="2" t="s">
        <v>625</v>
      </c>
      <c r="C369" s="1">
        <v>2510</v>
      </c>
      <c r="D369" s="1" t="s">
        <v>626</v>
      </c>
      <c r="E369" s="1">
        <v>4</v>
      </c>
      <c r="F369" s="1" t="s">
        <v>150</v>
      </c>
      <c r="G369" s="2" t="s">
        <v>137</v>
      </c>
      <c r="H369" s="1" t="s">
        <v>17</v>
      </c>
      <c r="I369" s="2" t="str">
        <f t="shared" si="317"/>
        <v>24</v>
      </c>
      <c r="J369" s="2" t="str">
        <f t="shared" si="318"/>
        <v>23</v>
      </c>
      <c r="K369" s="1">
        <f t="shared" si="319"/>
        <v>1</v>
      </c>
      <c r="M369" t="s">
        <v>24</v>
      </c>
      <c r="N369" t="s">
        <v>19</v>
      </c>
      <c r="O369" t="s">
        <v>20</v>
      </c>
    </row>
    <row r="370" spans="1:15" ht="14.25" customHeight="1">
      <c r="A370" s="5" t="str">
        <f t="shared" si="320"/>
        <v>487754</v>
      </c>
      <c r="B370" s="2" t="s">
        <v>627</v>
      </c>
      <c r="C370" s="1">
        <v>2510</v>
      </c>
      <c r="D370" s="1" t="s">
        <v>626</v>
      </c>
      <c r="E370" s="1">
        <v>6</v>
      </c>
      <c r="F370" s="1" t="s">
        <v>150</v>
      </c>
      <c r="G370" s="2" t="s">
        <v>137</v>
      </c>
      <c r="H370" s="1" t="s">
        <v>17</v>
      </c>
      <c r="I370" s="2" t="str">
        <f t="shared" si="317"/>
        <v>24</v>
      </c>
      <c r="J370" s="2" t="str">
        <f t="shared" si="318"/>
        <v>23</v>
      </c>
      <c r="K370" s="1">
        <f t="shared" si="319"/>
        <v>1</v>
      </c>
      <c r="M370" t="s">
        <v>24</v>
      </c>
      <c r="N370" t="s">
        <v>19</v>
      </c>
      <c r="O370" t="s">
        <v>20</v>
      </c>
    </row>
    <row r="371" spans="1:15" ht="14.25" customHeight="1">
      <c r="A371" s="5" t="str">
        <f t="shared" si="320"/>
        <v>487754</v>
      </c>
      <c r="B371" s="2" t="s">
        <v>628</v>
      </c>
      <c r="C371" s="1">
        <v>2510</v>
      </c>
      <c r="D371" s="1" t="s">
        <v>626</v>
      </c>
      <c r="E371" s="1">
        <v>4</v>
      </c>
      <c r="F371" s="1" t="s">
        <v>150</v>
      </c>
      <c r="G371" s="2" t="s">
        <v>137</v>
      </c>
      <c r="H371" s="1" t="s">
        <v>17</v>
      </c>
      <c r="I371" s="2" t="str">
        <f t="shared" si="317"/>
        <v>24</v>
      </c>
      <c r="J371" s="2" t="str">
        <f t="shared" si="318"/>
        <v>23</v>
      </c>
      <c r="K371" s="1">
        <f t="shared" si="319"/>
        <v>1</v>
      </c>
      <c r="M371" t="s">
        <v>24</v>
      </c>
      <c r="N371" t="s">
        <v>19</v>
      </c>
      <c r="O371" t="s">
        <v>20</v>
      </c>
    </row>
    <row r="372" spans="1:15" ht="14.25" customHeight="1">
      <c r="A372" s="5" t="str">
        <f t="shared" si="320"/>
        <v>487754</v>
      </c>
      <c r="B372" s="2" t="s">
        <v>629</v>
      </c>
      <c r="C372" s="1">
        <v>2510</v>
      </c>
      <c r="D372" s="1" t="s">
        <v>626</v>
      </c>
      <c r="E372" s="1">
        <v>6</v>
      </c>
      <c r="F372" s="1" t="s">
        <v>150</v>
      </c>
      <c r="G372" s="2" t="s">
        <v>137</v>
      </c>
      <c r="H372" s="1" t="s">
        <v>17</v>
      </c>
      <c r="I372" s="2" t="str">
        <f t="shared" si="317"/>
        <v>24</v>
      </c>
      <c r="J372" s="2" t="str">
        <f t="shared" si="318"/>
        <v>23</v>
      </c>
      <c r="K372" s="1">
        <f t="shared" si="319"/>
        <v>1</v>
      </c>
      <c r="M372" t="s">
        <v>24</v>
      </c>
      <c r="N372" t="s">
        <v>19</v>
      </c>
      <c r="O372" t="s">
        <v>20</v>
      </c>
    </row>
    <row r="373" spans="1:15" ht="14.25" customHeight="1">
      <c r="A373" s="5" t="str">
        <f t="shared" si="320"/>
        <v>487754</v>
      </c>
      <c r="B373" s="2" t="s">
        <v>630</v>
      </c>
      <c r="C373" s="1">
        <v>2510</v>
      </c>
      <c r="D373" s="1" t="s">
        <v>626</v>
      </c>
      <c r="E373" s="1">
        <v>6</v>
      </c>
      <c r="F373" s="1" t="s">
        <v>150</v>
      </c>
      <c r="G373" s="2" t="s">
        <v>137</v>
      </c>
      <c r="H373" s="1" t="s">
        <v>17</v>
      </c>
      <c r="I373" s="2" t="str">
        <f t="shared" si="317"/>
        <v>24</v>
      </c>
      <c r="J373" s="2" t="str">
        <f t="shared" si="318"/>
        <v>23</v>
      </c>
      <c r="K373" s="1">
        <f t="shared" si="319"/>
        <v>1</v>
      </c>
      <c r="M373" t="s">
        <v>24</v>
      </c>
      <c r="N373" t="s">
        <v>19</v>
      </c>
      <c r="O373" t="s">
        <v>20</v>
      </c>
    </row>
    <row r="374" spans="1:15" ht="14.25" customHeight="1">
      <c r="A374" s="5" t="str">
        <f t="shared" si="320"/>
        <v>487754</v>
      </c>
      <c r="B374" s="2" t="s">
        <v>631</v>
      </c>
      <c r="C374" s="1">
        <v>2510</v>
      </c>
      <c r="D374" s="1" t="s">
        <v>626</v>
      </c>
      <c r="E374" s="1">
        <v>6</v>
      </c>
      <c r="F374" s="1" t="s">
        <v>150</v>
      </c>
      <c r="G374" s="2" t="s">
        <v>137</v>
      </c>
      <c r="H374" s="1" t="s">
        <v>17</v>
      </c>
      <c r="I374" s="2" t="str">
        <f t="shared" si="317"/>
        <v>24</v>
      </c>
      <c r="J374" s="2" t="str">
        <f t="shared" si="318"/>
        <v>23</v>
      </c>
      <c r="K374" s="1">
        <f t="shared" si="319"/>
        <v>1</v>
      </c>
      <c r="M374" t="s">
        <v>24</v>
      </c>
      <c r="N374" t="s">
        <v>19</v>
      </c>
      <c r="O374" t="s">
        <v>20</v>
      </c>
    </row>
    <row r="375" spans="1:15" ht="14.25" customHeight="1">
      <c r="A375" s="5" t="str">
        <f t="shared" si="320"/>
        <v>487754</v>
      </c>
      <c r="B375" s="2" t="s">
        <v>632</v>
      </c>
      <c r="C375" s="1">
        <v>2510</v>
      </c>
      <c r="D375" s="1" t="s">
        <v>626</v>
      </c>
      <c r="E375" s="1">
        <v>6</v>
      </c>
      <c r="F375" s="1" t="s">
        <v>150</v>
      </c>
      <c r="G375" s="2" t="s">
        <v>137</v>
      </c>
      <c r="H375" s="1" t="s">
        <v>17</v>
      </c>
      <c r="I375" s="2" t="str">
        <f t="shared" si="317"/>
        <v>24</v>
      </c>
      <c r="J375" s="2" t="str">
        <f t="shared" si="318"/>
        <v>23</v>
      </c>
      <c r="K375" s="1">
        <f t="shared" si="319"/>
        <v>1</v>
      </c>
      <c r="M375" t="s">
        <v>24</v>
      </c>
      <c r="N375" t="s">
        <v>19</v>
      </c>
      <c r="O375" t="s">
        <v>20</v>
      </c>
    </row>
    <row r="376" spans="1:15" ht="14.25" customHeight="1">
      <c r="A376" s="5" t="str">
        <f t="shared" si="320"/>
        <v>494215</v>
      </c>
      <c r="B376" s="2" t="s">
        <v>633</v>
      </c>
      <c r="C376" s="1">
        <v>2510</v>
      </c>
      <c r="D376" s="1" t="s">
        <v>634</v>
      </c>
      <c r="E376" s="1">
        <v>18</v>
      </c>
      <c r="F376" s="1" t="s">
        <v>142</v>
      </c>
      <c r="G376" s="2" t="s">
        <v>113</v>
      </c>
      <c r="H376" s="1" t="s">
        <v>17</v>
      </c>
      <c r="I376" s="2" t="str">
        <f t="shared" ref="I376:I439" si="321">LEFT(F376,2)</f>
        <v>22</v>
      </c>
      <c r="J376" s="2" t="str">
        <f t="shared" ref="J376:J439" si="322">LEFT(G376,2)</f>
        <v>21</v>
      </c>
      <c r="K376" s="1">
        <f t="shared" ref="K376:K439" si="323">I376-J376</f>
        <v>1</v>
      </c>
      <c r="M376" t="s">
        <v>24</v>
      </c>
      <c r="N376" t="s">
        <v>19</v>
      </c>
      <c r="O376" t="s">
        <v>20</v>
      </c>
    </row>
    <row r="377" spans="1:15" ht="14.25" customHeight="1">
      <c r="A377" s="5" t="str">
        <f t="shared" si="320"/>
        <v>494215</v>
      </c>
      <c r="B377" s="2" t="s">
        <v>635</v>
      </c>
      <c r="C377" s="1">
        <v>2510</v>
      </c>
      <c r="D377" s="1" t="s">
        <v>634</v>
      </c>
      <c r="E377" s="1">
        <v>6</v>
      </c>
      <c r="F377" s="1" t="s">
        <v>142</v>
      </c>
      <c r="G377" s="2" t="s">
        <v>113</v>
      </c>
      <c r="H377" s="1" t="s">
        <v>17</v>
      </c>
      <c r="I377" s="2" t="str">
        <f t="shared" si="321"/>
        <v>22</v>
      </c>
      <c r="J377" s="2" t="str">
        <f t="shared" si="322"/>
        <v>21</v>
      </c>
      <c r="K377" s="1">
        <f t="shared" si="323"/>
        <v>1</v>
      </c>
      <c r="M377" t="s">
        <v>24</v>
      </c>
      <c r="N377" t="s">
        <v>19</v>
      </c>
      <c r="O377" t="s">
        <v>20</v>
      </c>
    </row>
    <row r="378" spans="1:15" ht="14.25" customHeight="1">
      <c r="A378" s="5" t="str">
        <f t="shared" si="320"/>
        <v>494215</v>
      </c>
      <c r="B378" s="2" t="s">
        <v>636</v>
      </c>
      <c r="C378" s="1">
        <v>2510</v>
      </c>
      <c r="D378" s="1" t="s">
        <v>634</v>
      </c>
      <c r="E378" s="1">
        <v>17</v>
      </c>
      <c r="F378" s="1" t="s">
        <v>142</v>
      </c>
      <c r="G378" s="2" t="s">
        <v>113</v>
      </c>
      <c r="H378" s="1" t="s">
        <v>17</v>
      </c>
      <c r="I378" s="2" t="str">
        <f t="shared" si="321"/>
        <v>22</v>
      </c>
      <c r="J378" s="2" t="str">
        <f t="shared" si="322"/>
        <v>21</v>
      </c>
      <c r="K378" s="1">
        <f t="shared" si="323"/>
        <v>1</v>
      </c>
      <c r="M378" t="s">
        <v>24</v>
      </c>
      <c r="N378" t="s">
        <v>19</v>
      </c>
      <c r="O378" t="s">
        <v>20</v>
      </c>
    </row>
    <row r="379" spans="1:15" ht="14.25" customHeight="1">
      <c r="A379" s="5" t="str">
        <f t="shared" si="320"/>
        <v>494215</v>
      </c>
      <c r="B379" s="2" t="s">
        <v>637</v>
      </c>
      <c r="C379" s="1">
        <v>2510</v>
      </c>
      <c r="D379" s="1" t="s">
        <v>634</v>
      </c>
      <c r="E379" s="1">
        <v>4</v>
      </c>
      <c r="F379" s="1" t="s">
        <v>142</v>
      </c>
      <c r="G379" s="2" t="s">
        <v>113</v>
      </c>
      <c r="H379" s="1" t="s">
        <v>17</v>
      </c>
      <c r="I379" s="2" t="str">
        <f t="shared" si="321"/>
        <v>22</v>
      </c>
      <c r="J379" s="2" t="str">
        <f t="shared" si="322"/>
        <v>21</v>
      </c>
      <c r="K379" s="1">
        <f t="shared" si="323"/>
        <v>1</v>
      </c>
      <c r="M379" t="s">
        <v>24</v>
      </c>
      <c r="N379" t="s">
        <v>19</v>
      </c>
      <c r="O379" t="s">
        <v>20</v>
      </c>
    </row>
    <row r="380" spans="1:15" ht="14.25" customHeight="1">
      <c r="A380" s="5" t="str">
        <f t="shared" si="320"/>
        <v>494215</v>
      </c>
      <c r="B380" s="2" t="s">
        <v>638</v>
      </c>
      <c r="C380" s="1">
        <v>2510</v>
      </c>
      <c r="D380" s="1" t="s">
        <v>634</v>
      </c>
      <c r="E380" s="1">
        <v>15</v>
      </c>
      <c r="F380" s="1" t="s">
        <v>142</v>
      </c>
      <c r="G380" s="2" t="s">
        <v>113</v>
      </c>
      <c r="H380" s="1" t="s">
        <v>17</v>
      </c>
      <c r="I380" s="2" t="str">
        <f t="shared" si="321"/>
        <v>22</v>
      </c>
      <c r="J380" s="2" t="str">
        <f t="shared" si="322"/>
        <v>21</v>
      </c>
      <c r="K380" s="1">
        <f t="shared" si="323"/>
        <v>1</v>
      </c>
      <c r="M380" t="s">
        <v>24</v>
      </c>
      <c r="N380" t="s">
        <v>19</v>
      </c>
      <c r="O380" t="s">
        <v>20</v>
      </c>
    </row>
    <row r="381" spans="1:15" ht="14.25" customHeight="1">
      <c r="A381" s="5" t="str">
        <f t="shared" si="320"/>
        <v>494817</v>
      </c>
      <c r="B381" s="2" t="s">
        <v>639</v>
      </c>
      <c r="C381" s="1">
        <v>2510</v>
      </c>
      <c r="D381" s="1" t="s">
        <v>640</v>
      </c>
      <c r="E381" s="1">
        <v>6</v>
      </c>
      <c r="F381" s="1" t="s">
        <v>137</v>
      </c>
      <c r="G381" s="2" t="s">
        <v>142</v>
      </c>
      <c r="H381" s="1" t="s">
        <v>17</v>
      </c>
      <c r="I381" s="2" t="str">
        <f t="shared" si="321"/>
        <v>23</v>
      </c>
      <c r="J381" s="2" t="str">
        <f t="shared" si="322"/>
        <v>22</v>
      </c>
      <c r="K381" s="1">
        <f t="shared" si="323"/>
        <v>1</v>
      </c>
      <c r="M381" t="s">
        <v>18</v>
      </c>
      <c r="N381" t="s">
        <v>19</v>
      </c>
      <c r="O381" t="s">
        <v>20</v>
      </c>
    </row>
    <row r="382" spans="1:15" ht="14.25" customHeight="1">
      <c r="A382" s="5" t="str">
        <f t="shared" si="320"/>
        <v>494817</v>
      </c>
      <c r="B382" s="2" t="s">
        <v>641</v>
      </c>
      <c r="C382" s="1">
        <v>2510</v>
      </c>
      <c r="D382" s="1" t="s">
        <v>640</v>
      </c>
      <c r="E382" s="1">
        <v>13</v>
      </c>
      <c r="F382" s="1" t="s">
        <v>137</v>
      </c>
      <c r="G382" s="2" t="s">
        <v>142</v>
      </c>
      <c r="H382" s="1" t="s">
        <v>17</v>
      </c>
      <c r="I382" s="2" t="str">
        <f t="shared" si="321"/>
        <v>23</v>
      </c>
      <c r="J382" s="2" t="str">
        <f t="shared" si="322"/>
        <v>22</v>
      </c>
      <c r="K382" s="1">
        <f t="shared" si="323"/>
        <v>1</v>
      </c>
      <c r="M382" t="s">
        <v>18</v>
      </c>
      <c r="N382" t="s">
        <v>19</v>
      </c>
      <c r="O382" t="s">
        <v>20</v>
      </c>
    </row>
    <row r="383" spans="1:15" ht="14.25" customHeight="1">
      <c r="A383" s="5" t="str">
        <f t="shared" si="320"/>
        <v>495140</v>
      </c>
      <c r="B383" s="2" t="s">
        <v>642</v>
      </c>
      <c r="C383" s="1">
        <v>2510</v>
      </c>
      <c r="D383" s="1" t="s">
        <v>643</v>
      </c>
      <c r="E383" s="1">
        <v>1</v>
      </c>
      <c r="F383" s="1" t="s">
        <v>113</v>
      </c>
      <c r="G383" s="2" t="s">
        <v>108</v>
      </c>
      <c r="H383" s="1" t="s">
        <v>17</v>
      </c>
      <c r="I383" s="2" t="str">
        <f t="shared" si="321"/>
        <v>21</v>
      </c>
      <c r="J383" s="2" t="str">
        <f t="shared" si="322"/>
        <v>20</v>
      </c>
      <c r="K383" s="1">
        <f t="shared" si="323"/>
        <v>1</v>
      </c>
      <c r="M383" t="s">
        <v>209</v>
      </c>
      <c r="N383" t="s">
        <v>19</v>
      </c>
      <c r="O383" t="s">
        <v>20</v>
      </c>
    </row>
    <row r="384" spans="1:15" ht="14.25" customHeight="1">
      <c r="A384" s="5" t="str">
        <f t="shared" si="320"/>
        <v>495140</v>
      </c>
      <c r="B384" s="2" t="s">
        <v>644</v>
      </c>
      <c r="C384" s="1">
        <v>2510</v>
      </c>
      <c r="D384" s="1" t="s">
        <v>643</v>
      </c>
      <c r="E384" s="1">
        <v>1</v>
      </c>
      <c r="F384" s="1" t="s">
        <v>113</v>
      </c>
      <c r="G384" s="2" t="s">
        <v>108</v>
      </c>
      <c r="H384" s="1" t="s">
        <v>17</v>
      </c>
      <c r="I384" s="2" t="str">
        <f t="shared" si="321"/>
        <v>21</v>
      </c>
      <c r="J384" s="2" t="str">
        <f t="shared" si="322"/>
        <v>20</v>
      </c>
      <c r="K384" s="1">
        <f t="shared" si="323"/>
        <v>1</v>
      </c>
      <c r="M384" t="s">
        <v>209</v>
      </c>
      <c r="N384" t="s">
        <v>19</v>
      </c>
      <c r="O384" t="s">
        <v>20</v>
      </c>
    </row>
    <row r="385" spans="1:15" ht="14.25" customHeight="1">
      <c r="A385" s="5" t="str">
        <f t="shared" si="320"/>
        <v>496229</v>
      </c>
      <c r="B385" s="2" t="s">
        <v>645</v>
      </c>
      <c r="C385" s="1">
        <v>2510</v>
      </c>
      <c r="D385" s="1" t="s">
        <v>646</v>
      </c>
      <c r="E385" s="1">
        <v>6</v>
      </c>
      <c r="F385" s="1" t="s">
        <v>108</v>
      </c>
      <c r="G385" s="2" t="s">
        <v>81</v>
      </c>
      <c r="H385" s="1" t="s">
        <v>17</v>
      </c>
      <c r="I385" s="2" t="str">
        <f t="shared" si="321"/>
        <v>20</v>
      </c>
      <c r="J385" s="2" t="str">
        <f t="shared" si="322"/>
        <v>18</v>
      </c>
      <c r="K385" s="1">
        <f t="shared" si="323"/>
        <v>2</v>
      </c>
      <c r="M385" t="s">
        <v>18</v>
      </c>
      <c r="N385" t="s">
        <v>19</v>
      </c>
      <c r="O385" t="s">
        <v>20</v>
      </c>
    </row>
    <row r="386" spans="1:15" ht="14.25" customHeight="1">
      <c r="A386" s="5" t="str">
        <f t="shared" si="320"/>
        <v>496229</v>
      </c>
      <c r="B386" s="2" t="s">
        <v>647</v>
      </c>
      <c r="C386" s="1">
        <v>2510</v>
      </c>
      <c r="D386" s="1" t="s">
        <v>646</v>
      </c>
      <c r="E386" s="1">
        <v>2</v>
      </c>
      <c r="F386" s="1" t="s">
        <v>108</v>
      </c>
      <c r="G386" s="2" t="s">
        <v>81</v>
      </c>
      <c r="H386" s="1" t="s">
        <v>17</v>
      </c>
      <c r="I386" s="2" t="str">
        <f t="shared" si="321"/>
        <v>20</v>
      </c>
      <c r="J386" s="2" t="str">
        <f t="shared" si="322"/>
        <v>18</v>
      </c>
      <c r="K386" s="1">
        <f t="shared" si="323"/>
        <v>2</v>
      </c>
      <c r="M386" t="s">
        <v>18</v>
      </c>
      <c r="N386" t="s">
        <v>19</v>
      </c>
      <c r="O386" t="s">
        <v>20</v>
      </c>
    </row>
    <row r="387" spans="1:15" ht="14.25" customHeight="1">
      <c r="A387" s="5" t="str">
        <f t="shared" ref="A387:A450" si="324">LEFT(B387,6)</f>
        <v>496229</v>
      </c>
      <c r="B387" s="2" t="s">
        <v>648</v>
      </c>
      <c r="C387" s="1">
        <v>2510</v>
      </c>
      <c r="D387" s="1" t="s">
        <v>646</v>
      </c>
      <c r="E387" s="1">
        <v>4</v>
      </c>
      <c r="F387" s="1" t="s">
        <v>108</v>
      </c>
      <c r="G387" s="2" t="s">
        <v>81</v>
      </c>
      <c r="H387" s="1" t="s">
        <v>17</v>
      </c>
      <c r="I387" s="2" t="str">
        <f t="shared" si="321"/>
        <v>20</v>
      </c>
      <c r="J387" s="2" t="str">
        <f t="shared" si="322"/>
        <v>18</v>
      </c>
      <c r="K387" s="1">
        <f t="shared" si="323"/>
        <v>2</v>
      </c>
      <c r="M387" t="s">
        <v>18</v>
      </c>
      <c r="N387" t="s">
        <v>19</v>
      </c>
      <c r="O387" t="s">
        <v>20</v>
      </c>
    </row>
    <row r="388" spans="1:15" ht="14.25" customHeight="1">
      <c r="A388" s="5" t="str">
        <f t="shared" si="324"/>
        <v>496229</v>
      </c>
      <c r="B388" s="2" t="s">
        <v>649</v>
      </c>
      <c r="C388" s="1">
        <v>2510</v>
      </c>
      <c r="D388" s="1" t="s">
        <v>646</v>
      </c>
      <c r="E388" s="1">
        <v>6</v>
      </c>
      <c r="F388" s="1" t="s">
        <v>108</v>
      </c>
      <c r="G388" s="2" t="s">
        <v>81</v>
      </c>
      <c r="H388" s="1" t="s">
        <v>17</v>
      </c>
      <c r="I388" s="2" t="str">
        <f t="shared" si="321"/>
        <v>20</v>
      </c>
      <c r="J388" s="2" t="str">
        <f t="shared" si="322"/>
        <v>18</v>
      </c>
      <c r="K388" s="1">
        <f t="shared" si="323"/>
        <v>2</v>
      </c>
      <c r="M388" t="s">
        <v>18</v>
      </c>
      <c r="N388" t="s">
        <v>19</v>
      </c>
      <c r="O388" t="s">
        <v>20</v>
      </c>
    </row>
    <row r="389" spans="1:15" ht="14.25" customHeight="1">
      <c r="A389" s="5" t="str">
        <f t="shared" si="324"/>
        <v>496278</v>
      </c>
      <c r="B389" s="2" t="s">
        <v>650</v>
      </c>
      <c r="C389" s="1">
        <v>2510</v>
      </c>
      <c r="D389" s="1" t="s">
        <v>651</v>
      </c>
      <c r="E389" s="1">
        <v>1</v>
      </c>
      <c r="F389" s="1" t="s">
        <v>108</v>
      </c>
      <c r="G389" s="2" t="s">
        <v>100</v>
      </c>
      <c r="H389" s="1" t="s">
        <v>17</v>
      </c>
      <c r="I389" s="2" t="str">
        <f t="shared" si="321"/>
        <v>20</v>
      </c>
      <c r="J389" s="2" t="str">
        <f t="shared" si="322"/>
        <v>19</v>
      </c>
      <c r="K389" s="1">
        <f t="shared" si="323"/>
        <v>1</v>
      </c>
      <c r="M389" t="s">
        <v>24</v>
      </c>
      <c r="N389" t="s">
        <v>19</v>
      </c>
      <c r="O389" t="s">
        <v>20</v>
      </c>
    </row>
    <row r="390" spans="1:15" ht="14.25" customHeight="1">
      <c r="A390" s="5" t="str">
        <f t="shared" si="324"/>
        <v>496278</v>
      </c>
      <c r="B390" s="2" t="s">
        <v>652</v>
      </c>
      <c r="C390" s="1">
        <v>2510</v>
      </c>
      <c r="D390" s="1" t="s">
        <v>651</v>
      </c>
      <c r="E390" s="1">
        <v>2</v>
      </c>
      <c r="F390" s="1" t="s">
        <v>108</v>
      </c>
      <c r="G390" s="2" t="s">
        <v>100</v>
      </c>
      <c r="H390" s="1" t="s">
        <v>17</v>
      </c>
      <c r="I390" s="2" t="str">
        <f t="shared" si="321"/>
        <v>20</v>
      </c>
      <c r="J390" s="2" t="str">
        <f t="shared" si="322"/>
        <v>19</v>
      </c>
      <c r="K390" s="1">
        <f t="shared" si="323"/>
        <v>1</v>
      </c>
      <c r="M390" t="s">
        <v>24</v>
      </c>
      <c r="N390" t="s">
        <v>19</v>
      </c>
      <c r="O390" t="s">
        <v>20</v>
      </c>
    </row>
    <row r="391" spans="1:15" ht="14.25" customHeight="1">
      <c r="A391" s="5" t="str">
        <f t="shared" si="324"/>
        <v>496278</v>
      </c>
      <c r="B391" s="2" t="s">
        <v>653</v>
      </c>
      <c r="C391" s="1">
        <v>2510</v>
      </c>
      <c r="D391" s="1" t="s">
        <v>651</v>
      </c>
      <c r="E391" s="1">
        <v>2</v>
      </c>
      <c r="F391" s="1" t="s">
        <v>108</v>
      </c>
      <c r="G391" s="2" t="s">
        <v>100</v>
      </c>
      <c r="H391" s="1" t="s">
        <v>17</v>
      </c>
      <c r="I391" s="2" t="str">
        <f t="shared" si="321"/>
        <v>20</v>
      </c>
      <c r="J391" s="2" t="str">
        <f t="shared" si="322"/>
        <v>19</v>
      </c>
      <c r="K391" s="1">
        <f t="shared" si="323"/>
        <v>1</v>
      </c>
      <c r="M391" t="s">
        <v>24</v>
      </c>
      <c r="N391" t="s">
        <v>19</v>
      </c>
      <c r="O391" t="s">
        <v>20</v>
      </c>
    </row>
    <row r="392" spans="1:15" ht="14.25" customHeight="1">
      <c r="A392" s="5" t="str">
        <f t="shared" si="324"/>
        <v>514450</v>
      </c>
      <c r="B392" s="2" t="s">
        <v>654</v>
      </c>
      <c r="C392" s="1">
        <v>2510</v>
      </c>
      <c r="D392" s="1" t="s">
        <v>655</v>
      </c>
      <c r="E392" s="1">
        <v>1</v>
      </c>
      <c r="F392" s="1" t="s">
        <v>142</v>
      </c>
      <c r="G392" s="2" t="s">
        <v>113</v>
      </c>
      <c r="H392" s="1" t="s">
        <v>17</v>
      </c>
      <c r="I392" s="2" t="str">
        <f t="shared" si="321"/>
        <v>22</v>
      </c>
      <c r="J392" s="2" t="str">
        <f t="shared" si="322"/>
        <v>21</v>
      </c>
      <c r="K392" s="1">
        <f t="shared" si="323"/>
        <v>1</v>
      </c>
      <c r="M392" t="s">
        <v>24</v>
      </c>
      <c r="N392" t="s">
        <v>19</v>
      </c>
      <c r="O392" t="s">
        <v>20</v>
      </c>
    </row>
    <row r="393" spans="1:15" ht="14.25" customHeight="1">
      <c r="A393" s="5" t="str">
        <f t="shared" si="324"/>
        <v>514450</v>
      </c>
      <c r="B393" s="2" t="s">
        <v>656</v>
      </c>
      <c r="C393" s="1">
        <v>2510</v>
      </c>
      <c r="D393" s="1" t="s">
        <v>655</v>
      </c>
      <c r="E393" s="1">
        <v>2</v>
      </c>
      <c r="F393" s="1" t="s">
        <v>142</v>
      </c>
      <c r="G393" s="2" t="s">
        <v>113</v>
      </c>
      <c r="H393" s="1" t="s">
        <v>17</v>
      </c>
      <c r="I393" s="2" t="str">
        <f t="shared" si="321"/>
        <v>22</v>
      </c>
      <c r="J393" s="2" t="str">
        <f t="shared" si="322"/>
        <v>21</v>
      </c>
      <c r="K393" s="1">
        <f t="shared" si="323"/>
        <v>1</v>
      </c>
      <c r="M393" t="s">
        <v>24</v>
      </c>
      <c r="N393" t="s">
        <v>19</v>
      </c>
      <c r="O393" t="s">
        <v>20</v>
      </c>
    </row>
    <row r="394" spans="1:15" ht="14.25" customHeight="1">
      <c r="A394" s="5" t="str">
        <f t="shared" si="324"/>
        <v>514450</v>
      </c>
      <c r="B394" s="2" t="s">
        <v>657</v>
      </c>
      <c r="C394" s="1">
        <v>2510</v>
      </c>
      <c r="D394" s="1" t="s">
        <v>655</v>
      </c>
      <c r="E394" s="1">
        <v>1</v>
      </c>
      <c r="F394" s="1" t="s">
        <v>142</v>
      </c>
      <c r="G394" s="2" t="s">
        <v>113</v>
      </c>
      <c r="H394" s="1" t="s">
        <v>17</v>
      </c>
      <c r="I394" s="2" t="str">
        <f t="shared" si="321"/>
        <v>22</v>
      </c>
      <c r="J394" s="2" t="str">
        <f t="shared" si="322"/>
        <v>21</v>
      </c>
      <c r="K394" s="1">
        <f t="shared" si="323"/>
        <v>1</v>
      </c>
      <c r="M394" t="s">
        <v>24</v>
      </c>
      <c r="N394" t="s">
        <v>19</v>
      </c>
      <c r="O394" t="s">
        <v>20</v>
      </c>
    </row>
    <row r="395" spans="1:15" ht="14.25" customHeight="1">
      <c r="A395" s="5" t="str">
        <f t="shared" si="324"/>
        <v>515640</v>
      </c>
      <c r="B395" s="2" t="s">
        <v>658</v>
      </c>
      <c r="C395" s="1">
        <v>2510</v>
      </c>
      <c r="D395" s="1" t="s">
        <v>659</v>
      </c>
      <c r="E395" s="1">
        <v>2</v>
      </c>
      <c r="F395" s="1" t="s">
        <v>142</v>
      </c>
      <c r="G395" s="2" t="s">
        <v>113</v>
      </c>
      <c r="H395" s="1" t="s">
        <v>17</v>
      </c>
      <c r="I395" s="2" t="str">
        <f t="shared" si="321"/>
        <v>22</v>
      </c>
      <c r="J395" s="2" t="str">
        <f t="shared" si="322"/>
        <v>21</v>
      </c>
      <c r="K395" s="1">
        <f t="shared" si="323"/>
        <v>1</v>
      </c>
      <c r="M395" t="s">
        <v>18</v>
      </c>
      <c r="N395" t="s">
        <v>19</v>
      </c>
      <c r="O395" t="s">
        <v>20</v>
      </c>
    </row>
    <row r="396" spans="1:15" ht="14.25" customHeight="1">
      <c r="A396" s="5" t="str">
        <f t="shared" si="324"/>
        <v>515640</v>
      </c>
      <c r="B396" s="2" t="s">
        <v>660</v>
      </c>
      <c r="C396" s="1">
        <v>2510</v>
      </c>
      <c r="D396" s="1" t="s">
        <v>659</v>
      </c>
      <c r="E396" s="1">
        <v>2</v>
      </c>
      <c r="F396" s="1" t="s">
        <v>142</v>
      </c>
      <c r="G396" s="2" t="s">
        <v>113</v>
      </c>
      <c r="H396" s="1" t="s">
        <v>17</v>
      </c>
      <c r="I396" s="2" t="str">
        <f t="shared" si="321"/>
        <v>22</v>
      </c>
      <c r="J396" s="2" t="str">
        <f t="shared" si="322"/>
        <v>21</v>
      </c>
      <c r="K396" s="1">
        <f t="shared" si="323"/>
        <v>1</v>
      </c>
      <c r="M396" t="s">
        <v>18</v>
      </c>
      <c r="N396" t="s">
        <v>19</v>
      </c>
      <c r="O396" t="s">
        <v>20</v>
      </c>
    </row>
    <row r="397" spans="1:15" ht="14.25" customHeight="1">
      <c r="A397" s="5" t="str">
        <f t="shared" si="324"/>
        <v>515640</v>
      </c>
      <c r="B397" s="2" t="s">
        <v>661</v>
      </c>
      <c r="C397" s="1">
        <v>2510</v>
      </c>
      <c r="D397" s="1" t="s">
        <v>659</v>
      </c>
      <c r="E397" s="1">
        <v>1</v>
      </c>
      <c r="F397" s="1" t="s">
        <v>142</v>
      </c>
      <c r="G397" s="2" t="s">
        <v>113</v>
      </c>
      <c r="H397" s="1" t="s">
        <v>17</v>
      </c>
      <c r="I397" s="2" t="str">
        <f t="shared" si="321"/>
        <v>22</v>
      </c>
      <c r="J397" s="2" t="str">
        <f t="shared" si="322"/>
        <v>21</v>
      </c>
      <c r="K397" s="1">
        <f t="shared" si="323"/>
        <v>1</v>
      </c>
      <c r="M397" t="s">
        <v>18</v>
      </c>
      <c r="N397" t="s">
        <v>19</v>
      </c>
      <c r="O397" t="s">
        <v>20</v>
      </c>
    </row>
    <row r="398" spans="1:15" ht="14.25" customHeight="1">
      <c r="A398" s="5" t="str">
        <f t="shared" si="324"/>
        <v>515640</v>
      </c>
      <c r="B398" s="2" t="s">
        <v>662</v>
      </c>
      <c r="C398" s="1">
        <v>2510</v>
      </c>
      <c r="D398" s="1" t="s">
        <v>659</v>
      </c>
      <c r="E398" s="1">
        <v>1</v>
      </c>
      <c r="F398" s="1" t="s">
        <v>142</v>
      </c>
      <c r="G398" s="2" t="s">
        <v>113</v>
      </c>
      <c r="H398" s="1" t="s">
        <v>17</v>
      </c>
      <c r="I398" s="2" t="str">
        <f t="shared" si="321"/>
        <v>22</v>
      </c>
      <c r="J398" s="2" t="str">
        <f t="shared" si="322"/>
        <v>21</v>
      </c>
      <c r="K398" s="1">
        <f t="shared" si="323"/>
        <v>1</v>
      </c>
      <c r="M398" t="s">
        <v>18</v>
      </c>
      <c r="N398" t="s">
        <v>19</v>
      </c>
      <c r="O398" t="s">
        <v>20</v>
      </c>
    </row>
    <row r="399" spans="1:15" ht="14.25" customHeight="1">
      <c r="A399" s="5" t="str">
        <f t="shared" si="324"/>
        <v>515671</v>
      </c>
      <c r="B399" s="2" t="s">
        <v>663</v>
      </c>
      <c r="C399" s="1">
        <v>2510</v>
      </c>
      <c r="D399" s="1" t="s">
        <v>664</v>
      </c>
      <c r="E399" s="1">
        <v>1</v>
      </c>
      <c r="F399" s="1" t="s">
        <v>108</v>
      </c>
      <c r="G399" s="2" t="s">
        <v>100</v>
      </c>
      <c r="H399" s="1" t="s">
        <v>17</v>
      </c>
      <c r="I399" s="2" t="str">
        <f t="shared" si="321"/>
        <v>20</v>
      </c>
      <c r="J399" s="2" t="str">
        <f t="shared" si="322"/>
        <v>19</v>
      </c>
      <c r="K399" s="1">
        <f t="shared" si="323"/>
        <v>1</v>
      </c>
      <c r="M399" t="s">
        <v>24</v>
      </c>
      <c r="N399" t="s">
        <v>19</v>
      </c>
      <c r="O399" t="s">
        <v>20</v>
      </c>
    </row>
    <row r="400" spans="1:15" ht="14.25" customHeight="1">
      <c r="A400" s="5" t="str">
        <f t="shared" si="324"/>
        <v>515671</v>
      </c>
      <c r="B400" s="2" t="s">
        <v>665</v>
      </c>
      <c r="C400" s="1">
        <v>2510</v>
      </c>
      <c r="D400" s="1" t="s">
        <v>664</v>
      </c>
      <c r="E400" s="1">
        <v>1</v>
      </c>
      <c r="F400" s="1" t="s">
        <v>108</v>
      </c>
      <c r="G400" s="2" t="s">
        <v>100</v>
      </c>
      <c r="H400" s="1" t="s">
        <v>17</v>
      </c>
      <c r="I400" s="2" t="str">
        <f t="shared" si="321"/>
        <v>20</v>
      </c>
      <c r="J400" s="2" t="str">
        <f t="shared" si="322"/>
        <v>19</v>
      </c>
      <c r="K400" s="1">
        <f t="shared" si="323"/>
        <v>1</v>
      </c>
      <c r="M400" t="s">
        <v>24</v>
      </c>
      <c r="N400" t="s">
        <v>19</v>
      </c>
      <c r="O400" t="s">
        <v>20</v>
      </c>
    </row>
    <row r="401" spans="1:15" ht="14.25" customHeight="1">
      <c r="A401" s="5" t="str">
        <f t="shared" si="324"/>
        <v>515671</v>
      </c>
      <c r="B401" s="2" t="s">
        <v>666</v>
      </c>
      <c r="C401" s="1">
        <v>2510</v>
      </c>
      <c r="D401" s="1" t="s">
        <v>664</v>
      </c>
      <c r="E401" s="1">
        <v>1</v>
      </c>
      <c r="F401" s="1" t="s">
        <v>108</v>
      </c>
      <c r="G401" s="2" t="s">
        <v>100</v>
      </c>
      <c r="H401" s="1" t="s">
        <v>17</v>
      </c>
      <c r="I401" s="2" t="str">
        <f t="shared" si="321"/>
        <v>20</v>
      </c>
      <c r="J401" s="2" t="str">
        <f t="shared" si="322"/>
        <v>19</v>
      </c>
      <c r="K401" s="1">
        <f t="shared" si="323"/>
        <v>1</v>
      </c>
      <c r="M401" t="s">
        <v>24</v>
      </c>
      <c r="N401" t="s">
        <v>19</v>
      </c>
      <c r="O401" t="s">
        <v>20</v>
      </c>
    </row>
    <row r="402" spans="1:15" ht="14.25" customHeight="1">
      <c r="A402" s="5" t="str">
        <f t="shared" si="324"/>
        <v>515872</v>
      </c>
      <c r="B402" s="2" t="s">
        <v>667</v>
      </c>
      <c r="C402" s="1">
        <v>2510</v>
      </c>
      <c r="D402" s="1" t="s">
        <v>668</v>
      </c>
      <c r="E402" s="1">
        <v>2</v>
      </c>
      <c r="F402" s="1" t="s">
        <v>137</v>
      </c>
      <c r="G402" s="2" t="s">
        <v>142</v>
      </c>
      <c r="H402" s="1" t="s">
        <v>17</v>
      </c>
      <c r="I402" s="2" t="str">
        <f t="shared" si="321"/>
        <v>23</v>
      </c>
      <c r="J402" s="2" t="str">
        <f t="shared" si="322"/>
        <v>22</v>
      </c>
      <c r="K402" s="1">
        <f t="shared" si="323"/>
        <v>1</v>
      </c>
      <c r="M402" t="s">
        <v>24</v>
      </c>
      <c r="N402" t="s">
        <v>19</v>
      </c>
      <c r="O402" t="s">
        <v>20</v>
      </c>
    </row>
    <row r="403" spans="1:15" ht="14.25" customHeight="1">
      <c r="A403" s="5" t="str">
        <f t="shared" si="324"/>
        <v>515872</v>
      </c>
      <c r="B403" s="2" t="s">
        <v>669</v>
      </c>
      <c r="C403" s="1">
        <v>2510</v>
      </c>
      <c r="D403" s="1" t="s">
        <v>668</v>
      </c>
      <c r="E403" s="1">
        <v>1</v>
      </c>
      <c r="F403" s="1" t="s">
        <v>137</v>
      </c>
      <c r="G403" s="2" t="s">
        <v>142</v>
      </c>
      <c r="H403" s="1" t="s">
        <v>17</v>
      </c>
      <c r="I403" s="2" t="str">
        <f t="shared" si="321"/>
        <v>23</v>
      </c>
      <c r="J403" s="2" t="str">
        <f t="shared" si="322"/>
        <v>22</v>
      </c>
      <c r="K403" s="1">
        <f t="shared" si="323"/>
        <v>1</v>
      </c>
      <c r="M403" t="s">
        <v>24</v>
      </c>
      <c r="N403" t="s">
        <v>19</v>
      </c>
      <c r="O403" t="s">
        <v>20</v>
      </c>
    </row>
    <row r="404" spans="1:15" ht="14.25" customHeight="1">
      <c r="A404" s="5" t="str">
        <f t="shared" si="324"/>
        <v>516653</v>
      </c>
      <c r="B404" s="2" t="s">
        <v>670</v>
      </c>
      <c r="C404" s="1">
        <v>2510</v>
      </c>
      <c r="D404" s="1" t="s">
        <v>671</v>
      </c>
      <c r="E404" s="1">
        <v>1</v>
      </c>
      <c r="F404" s="1" t="s">
        <v>108</v>
      </c>
      <c r="G404" s="2" t="s">
        <v>100</v>
      </c>
      <c r="H404" s="1" t="s">
        <v>17</v>
      </c>
      <c r="I404" s="2" t="str">
        <f t="shared" si="321"/>
        <v>20</v>
      </c>
      <c r="J404" s="2" t="str">
        <f t="shared" si="322"/>
        <v>19</v>
      </c>
      <c r="K404" s="1">
        <f t="shared" si="323"/>
        <v>1</v>
      </c>
      <c r="M404" t="s">
        <v>27</v>
      </c>
      <c r="N404" t="s">
        <v>19</v>
      </c>
      <c r="O404" t="s">
        <v>20</v>
      </c>
    </row>
    <row r="405" spans="1:15" ht="14.25" customHeight="1">
      <c r="A405" s="5" t="str">
        <f t="shared" si="324"/>
        <v>516653</v>
      </c>
      <c r="B405" s="2" t="s">
        <v>672</v>
      </c>
      <c r="C405" s="1">
        <v>2510</v>
      </c>
      <c r="D405" s="1" t="s">
        <v>671</v>
      </c>
      <c r="E405" s="1">
        <v>1</v>
      </c>
      <c r="F405" s="1" t="s">
        <v>108</v>
      </c>
      <c r="G405" s="2" t="s">
        <v>100</v>
      </c>
      <c r="H405" s="1" t="s">
        <v>17</v>
      </c>
      <c r="I405" s="2" t="str">
        <f t="shared" si="321"/>
        <v>20</v>
      </c>
      <c r="J405" s="2" t="str">
        <f t="shared" si="322"/>
        <v>19</v>
      </c>
      <c r="K405" s="1">
        <f t="shared" si="323"/>
        <v>1</v>
      </c>
      <c r="M405" t="s">
        <v>27</v>
      </c>
      <c r="N405" t="s">
        <v>19</v>
      </c>
      <c r="O405" t="s">
        <v>20</v>
      </c>
    </row>
    <row r="406" spans="1:15" ht="14.25" customHeight="1">
      <c r="A406" s="5" t="str">
        <f t="shared" si="324"/>
        <v>516653</v>
      </c>
      <c r="B406" s="2" t="s">
        <v>673</v>
      </c>
      <c r="C406" s="1">
        <v>2510</v>
      </c>
      <c r="D406" s="1" t="s">
        <v>671</v>
      </c>
      <c r="E406" s="1">
        <v>2</v>
      </c>
      <c r="F406" s="1" t="s">
        <v>108</v>
      </c>
      <c r="G406" s="2" t="s">
        <v>100</v>
      </c>
      <c r="H406" s="1" t="s">
        <v>17</v>
      </c>
      <c r="I406" s="2" t="str">
        <f t="shared" si="321"/>
        <v>20</v>
      </c>
      <c r="J406" s="2" t="str">
        <f t="shared" si="322"/>
        <v>19</v>
      </c>
      <c r="K406" s="1">
        <f t="shared" si="323"/>
        <v>1</v>
      </c>
      <c r="M406" t="s">
        <v>27</v>
      </c>
      <c r="N406" t="s">
        <v>19</v>
      </c>
      <c r="O406" t="s">
        <v>20</v>
      </c>
    </row>
    <row r="407" spans="1:15" ht="14.25" customHeight="1">
      <c r="A407" s="5" t="str">
        <f t="shared" si="324"/>
        <v>516653</v>
      </c>
      <c r="B407" s="2" t="s">
        <v>674</v>
      </c>
      <c r="C407" s="1">
        <v>2510</v>
      </c>
      <c r="D407" s="1" t="s">
        <v>671</v>
      </c>
      <c r="E407" s="1">
        <v>1</v>
      </c>
      <c r="F407" s="1" t="s">
        <v>108</v>
      </c>
      <c r="G407" s="2" t="s">
        <v>100</v>
      </c>
      <c r="H407" s="1" t="s">
        <v>17</v>
      </c>
      <c r="I407" s="2" t="str">
        <f t="shared" si="321"/>
        <v>20</v>
      </c>
      <c r="J407" s="2" t="str">
        <f t="shared" si="322"/>
        <v>19</v>
      </c>
      <c r="K407" s="1">
        <f t="shared" si="323"/>
        <v>1</v>
      </c>
      <c r="M407" t="s">
        <v>27</v>
      </c>
      <c r="N407" t="s">
        <v>19</v>
      </c>
      <c r="O407" t="s">
        <v>20</v>
      </c>
    </row>
    <row r="408" spans="1:15" ht="14.25" customHeight="1">
      <c r="A408" s="5" t="str">
        <f t="shared" si="324"/>
        <v>516653</v>
      </c>
      <c r="B408" s="2" t="s">
        <v>675</v>
      </c>
      <c r="C408" s="1">
        <v>2510</v>
      </c>
      <c r="D408" s="1" t="s">
        <v>671</v>
      </c>
      <c r="E408" s="1">
        <v>1</v>
      </c>
      <c r="F408" s="1" t="s">
        <v>108</v>
      </c>
      <c r="G408" s="2" t="s">
        <v>100</v>
      </c>
      <c r="H408" s="1" t="s">
        <v>17</v>
      </c>
      <c r="I408" s="2" t="str">
        <f t="shared" si="321"/>
        <v>20</v>
      </c>
      <c r="J408" s="2" t="str">
        <f t="shared" si="322"/>
        <v>19</v>
      </c>
      <c r="K408" s="1">
        <f t="shared" si="323"/>
        <v>1</v>
      </c>
      <c r="M408" t="s">
        <v>27</v>
      </c>
      <c r="N408" t="s">
        <v>19</v>
      </c>
      <c r="O408" t="s">
        <v>20</v>
      </c>
    </row>
    <row r="409" spans="1:15" ht="14.25" customHeight="1">
      <c r="A409" s="5" t="str">
        <f t="shared" si="324"/>
        <v>517291</v>
      </c>
      <c r="B409" s="2" t="s">
        <v>676</v>
      </c>
      <c r="C409" s="1">
        <v>2510</v>
      </c>
      <c r="D409" s="1" t="s">
        <v>677</v>
      </c>
      <c r="E409" s="1">
        <v>3</v>
      </c>
      <c r="F409" s="1" t="s">
        <v>108</v>
      </c>
      <c r="G409" s="2" t="s">
        <v>100</v>
      </c>
      <c r="H409" s="1" t="s">
        <v>17</v>
      </c>
      <c r="I409" s="2" t="str">
        <f t="shared" si="321"/>
        <v>20</v>
      </c>
      <c r="J409" s="2" t="str">
        <f t="shared" si="322"/>
        <v>19</v>
      </c>
      <c r="K409" s="1">
        <f t="shared" si="323"/>
        <v>1</v>
      </c>
      <c r="M409" t="s">
        <v>18</v>
      </c>
      <c r="N409" t="s">
        <v>19</v>
      </c>
      <c r="O409" t="s">
        <v>20</v>
      </c>
    </row>
    <row r="410" spans="1:15" ht="14.25" customHeight="1">
      <c r="A410" s="5" t="str">
        <f t="shared" si="324"/>
        <v>517291</v>
      </c>
      <c r="B410" s="2" t="s">
        <v>678</v>
      </c>
      <c r="C410" s="1">
        <v>2510</v>
      </c>
      <c r="D410" s="1" t="s">
        <v>677</v>
      </c>
      <c r="E410" s="1">
        <v>2</v>
      </c>
      <c r="F410" s="1" t="s">
        <v>108</v>
      </c>
      <c r="G410" s="2" t="s">
        <v>100</v>
      </c>
      <c r="H410" s="1" t="s">
        <v>17</v>
      </c>
      <c r="I410" s="2" t="str">
        <f t="shared" si="321"/>
        <v>20</v>
      </c>
      <c r="J410" s="2" t="str">
        <f t="shared" si="322"/>
        <v>19</v>
      </c>
      <c r="K410" s="1">
        <f t="shared" si="323"/>
        <v>1</v>
      </c>
      <c r="M410" t="s">
        <v>18</v>
      </c>
      <c r="N410" t="s">
        <v>19</v>
      </c>
      <c r="O410" t="s">
        <v>20</v>
      </c>
    </row>
    <row r="411" spans="1:15" ht="14.25" customHeight="1">
      <c r="A411" s="5" t="str">
        <f t="shared" si="324"/>
        <v>517291</v>
      </c>
      <c r="B411" s="2" t="s">
        <v>679</v>
      </c>
      <c r="C411" s="1">
        <v>2510</v>
      </c>
      <c r="D411" s="1" t="s">
        <v>677</v>
      </c>
      <c r="E411" s="1">
        <v>55</v>
      </c>
      <c r="F411" s="1" t="s">
        <v>108</v>
      </c>
      <c r="G411" s="2" t="s">
        <v>100</v>
      </c>
      <c r="H411" s="1" t="s">
        <v>17</v>
      </c>
      <c r="I411" s="2" t="str">
        <f t="shared" si="321"/>
        <v>20</v>
      </c>
      <c r="J411" s="2" t="str">
        <f t="shared" si="322"/>
        <v>19</v>
      </c>
      <c r="K411" s="1">
        <f t="shared" si="323"/>
        <v>1</v>
      </c>
      <c r="M411" t="s">
        <v>18</v>
      </c>
      <c r="N411" t="s">
        <v>19</v>
      </c>
      <c r="O411" t="s">
        <v>20</v>
      </c>
    </row>
    <row r="412" spans="1:15" ht="14.25" customHeight="1">
      <c r="A412" s="5" t="str">
        <f t="shared" si="324"/>
        <v>517291</v>
      </c>
      <c r="B412" s="2" t="s">
        <v>680</v>
      </c>
      <c r="C412" s="1">
        <v>2510</v>
      </c>
      <c r="D412" s="1" t="s">
        <v>677</v>
      </c>
      <c r="E412" s="1">
        <v>13</v>
      </c>
      <c r="F412" s="1" t="s">
        <v>108</v>
      </c>
      <c r="G412" s="2" t="s">
        <v>100</v>
      </c>
      <c r="H412" s="1" t="s">
        <v>17</v>
      </c>
      <c r="I412" s="2" t="str">
        <f t="shared" si="321"/>
        <v>20</v>
      </c>
      <c r="J412" s="2" t="str">
        <f t="shared" si="322"/>
        <v>19</v>
      </c>
      <c r="K412" s="1">
        <f t="shared" si="323"/>
        <v>1</v>
      </c>
      <c r="M412" t="s">
        <v>18</v>
      </c>
      <c r="N412" t="s">
        <v>19</v>
      </c>
      <c r="O412" t="s">
        <v>20</v>
      </c>
    </row>
    <row r="413" spans="1:15" ht="14.25" customHeight="1">
      <c r="A413" s="5" t="str">
        <f t="shared" si="324"/>
        <v>517291</v>
      </c>
      <c r="B413" s="2" t="s">
        <v>681</v>
      </c>
      <c r="C413" s="1">
        <v>2510</v>
      </c>
      <c r="D413" s="1" t="s">
        <v>677</v>
      </c>
      <c r="E413" s="1">
        <v>14</v>
      </c>
      <c r="F413" s="1" t="s">
        <v>108</v>
      </c>
      <c r="G413" s="2" t="s">
        <v>100</v>
      </c>
      <c r="H413" s="1" t="s">
        <v>17</v>
      </c>
      <c r="I413" s="2" t="str">
        <f t="shared" si="321"/>
        <v>20</v>
      </c>
      <c r="J413" s="2" t="str">
        <f t="shared" si="322"/>
        <v>19</v>
      </c>
      <c r="K413" s="1">
        <f t="shared" si="323"/>
        <v>1</v>
      </c>
      <c r="M413" t="s">
        <v>18</v>
      </c>
      <c r="N413" t="s">
        <v>19</v>
      </c>
      <c r="O413" t="s">
        <v>20</v>
      </c>
    </row>
    <row r="414" spans="1:15" ht="14.25" customHeight="1">
      <c r="A414" s="5" t="str">
        <f t="shared" si="324"/>
        <v>517291</v>
      </c>
      <c r="B414" s="2" t="s">
        <v>682</v>
      </c>
      <c r="C414" s="1">
        <v>2510</v>
      </c>
      <c r="D414" s="1" t="s">
        <v>677</v>
      </c>
      <c r="E414" s="1">
        <v>12</v>
      </c>
      <c r="F414" s="1" t="s">
        <v>108</v>
      </c>
      <c r="G414" s="2" t="s">
        <v>100</v>
      </c>
      <c r="H414" s="1" t="s">
        <v>17</v>
      </c>
      <c r="I414" s="2" t="str">
        <f t="shared" si="321"/>
        <v>20</v>
      </c>
      <c r="J414" s="2" t="str">
        <f t="shared" si="322"/>
        <v>19</v>
      </c>
      <c r="K414" s="1">
        <f t="shared" si="323"/>
        <v>1</v>
      </c>
      <c r="M414" t="s">
        <v>18</v>
      </c>
      <c r="N414" t="s">
        <v>19</v>
      </c>
      <c r="O414" t="s">
        <v>20</v>
      </c>
    </row>
    <row r="415" spans="1:15" ht="14.25" customHeight="1">
      <c r="A415" s="5" t="str">
        <f t="shared" si="324"/>
        <v>517291</v>
      </c>
      <c r="B415" s="2" t="s">
        <v>683</v>
      </c>
      <c r="C415" s="1">
        <v>2510</v>
      </c>
      <c r="D415" s="1" t="s">
        <v>677</v>
      </c>
      <c r="E415" s="1">
        <v>12</v>
      </c>
      <c r="F415" s="1" t="s">
        <v>108</v>
      </c>
      <c r="G415" s="2" t="s">
        <v>100</v>
      </c>
      <c r="H415" s="1" t="s">
        <v>17</v>
      </c>
      <c r="I415" s="2" t="str">
        <f t="shared" si="321"/>
        <v>20</v>
      </c>
      <c r="J415" s="2" t="str">
        <f t="shared" si="322"/>
        <v>19</v>
      </c>
      <c r="K415" s="1">
        <f t="shared" si="323"/>
        <v>1</v>
      </c>
      <c r="M415" t="s">
        <v>18</v>
      </c>
      <c r="N415" t="s">
        <v>19</v>
      </c>
      <c r="O415" t="s">
        <v>20</v>
      </c>
    </row>
    <row r="416" spans="1:15" ht="14.25" customHeight="1">
      <c r="A416" s="5" t="str">
        <f t="shared" si="324"/>
        <v>518478</v>
      </c>
      <c r="B416" s="2" t="s">
        <v>684</v>
      </c>
      <c r="C416" s="1">
        <v>2510</v>
      </c>
      <c r="D416" s="1" t="s">
        <v>685</v>
      </c>
      <c r="E416" s="1">
        <v>3</v>
      </c>
      <c r="F416" s="1" t="s">
        <v>108</v>
      </c>
      <c r="G416" s="2" t="s">
        <v>100</v>
      </c>
      <c r="H416" s="1" t="s">
        <v>17</v>
      </c>
      <c r="I416" s="2" t="str">
        <f t="shared" si="321"/>
        <v>20</v>
      </c>
      <c r="J416" s="2" t="str">
        <f t="shared" si="322"/>
        <v>19</v>
      </c>
      <c r="K416" s="1">
        <f t="shared" si="323"/>
        <v>1</v>
      </c>
      <c r="M416" t="s">
        <v>18</v>
      </c>
      <c r="N416" t="s">
        <v>19</v>
      </c>
      <c r="O416" t="s">
        <v>20</v>
      </c>
    </row>
    <row r="417" spans="1:15" ht="14.25" customHeight="1">
      <c r="A417" s="5" t="str">
        <f t="shared" si="324"/>
        <v>518478</v>
      </c>
      <c r="B417" s="2" t="s">
        <v>686</v>
      </c>
      <c r="C417" s="1">
        <v>2510</v>
      </c>
      <c r="D417" s="1" t="s">
        <v>685</v>
      </c>
      <c r="E417" s="1">
        <v>4</v>
      </c>
      <c r="F417" s="1" t="s">
        <v>108</v>
      </c>
      <c r="G417" s="2" t="s">
        <v>100</v>
      </c>
      <c r="H417" s="1" t="s">
        <v>17</v>
      </c>
      <c r="I417" s="2" t="str">
        <f t="shared" si="321"/>
        <v>20</v>
      </c>
      <c r="J417" s="2" t="str">
        <f t="shared" si="322"/>
        <v>19</v>
      </c>
      <c r="K417" s="1">
        <f t="shared" si="323"/>
        <v>1</v>
      </c>
      <c r="M417" t="s">
        <v>18</v>
      </c>
      <c r="N417" t="s">
        <v>19</v>
      </c>
      <c r="O417" t="s">
        <v>20</v>
      </c>
    </row>
    <row r="418" spans="1:15" ht="14.25" customHeight="1">
      <c r="A418" s="5" t="str">
        <f t="shared" si="324"/>
        <v>518478</v>
      </c>
      <c r="B418" s="2" t="s">
        <v>687</v>
      </c>
      <c r="C418" s="1">
        <v>2510</v>
      </c>
      <c r="D418" s="1" t="s">
        <v>685</v>
      </c>
      <c r="E418" s="1">
        <v>8</v>
      </c>
      <c r="F418" s="1" t="s">
        <v>108</v>
      </c>
      <c r="G418" s="2" t="s">
        <v>100</v>
      </c>
      <c r="H418" s="1" t="s">
        <v>17</v>
      </c>
      <c r="I418" s="2" t="str">
        <f t="shared" si="321"/>
        <v>20</v>
      </c>
      <c r="J418" s="2" t="str">
        <f t="shared" si="322"/>
        <v>19</v>
      </c>
      <c r="K418" s="1">
        <f t="shared" si="323"/>
        <v>1</v>
      </c>
      <c r="M418" t="s">
        <v>18</v>
      </c>
      <c r="N418" t="s">
        <v>19</v>
      </c>
      <c r="O418" t="s">
        <v>20</v>
      </c>
    </row>
    <row r="419" spans="1:15" ht="14.25" customHeight="1">
      <c r="A419" s="5" t="str">
        <f t="shared" si="324"/>
        <v>518478</v>
      </c>
      <c r="B419" s="2" t="s">
        <v>688</v>
      </c>
      <c r="C419" s="1">
        <v>2510</v>
      </c>
      <c r="D419" s="1" t="s">
        <v>685</v>
      </c>
      <c r="E419" s="1">
        <v>4</v>
      </c>
      <c r="F419" s="1" t="s">
        <v>108</v>
      </c>
      <c r="G419" s="2" t="s">
        <v>100</v>
      </c>
      <c r="H419" s="1" t="s">
        <v>17</v>
      </c>
      <c r="I419" s="2" t="str">
        <f t="shared" si="321"/>
        <v>20</v>
      </c>
      <c r="J419" s="2" t="str">
        <f t="shared" si="322"/>
        <v>19</v>
      </c>
      <c r="K419" s="1">
        <f t="shared" si="323"/>
        <v>1</v>
      </c>
      <c r="M419" t="s">
        <v>18</v>
      </c>
      <c r="N419" t="s">
        <v>19</v>
      </c>
      <c r="O419" t="s">
        <v>20</v>
      </c>
    </row>
    <row r="420" spans="1:15" ht="14.25" customHeight="1">
      <c r="A420" s="5" t="str">
        <f t="shared" si="324"/>
        <v>518478</v>
      </c>
      <c r="B420" s="2" t="s">
        <v>689</v>
      </c>
      <c r="C420" s="1">
        <v>2510</v>
      </c>
      <c r="D420" s="1" t="s">
        <v>685</v>
      </c>
      <c r="E420" s="1">
        <v>14</v>
      </c>
      <c r="F420" s="1" t="s">
        <v>108</v>
      </c>
      <c r="G420" s="2" t="s">
        <v>100</v>
      </c>
      <c r="H420" s="1" t="s">
        <v>17</v>
      </c>
      <c r="I420" s="2" t="str">
        <f t="shared" si="321"/>
        <v>20</v>
      </c>
      <c r="J420" s="2" t="str">
        <f t="shared" si="322"/>
        <v>19</v>
      </c>
      <c r="K420" s="1">
        <f t="shared" si="323"/>
        <v>1</v>
      </c>
      <c r="M420" t="s">
        <v>18</v>
      </c>
      <c r="N420" t="s">
        <v>19</v>
      </c>
      <c r="O420" t="s">
        <v>20</v>
      </c>
    </row>
    <row r="421" spans="1:15" ht="14.25" customHeight="1">
      <c r="A421" s="5" t="str">
        <f t="shared" si="324"/>
        <v>518478</v>
      </c>
      <c r="B421" s="2" t="s">
        <v>690</v>
      </c>
      <c r="C421" s="1">
        <v>2510</v>
      </c>
      <c r="D421" s="1" t="s">
        <v>685</v>
      </c>
      <c r="E421" s="1">
        <v>4</v>
      </c>
      <c r="F421" s="1" t="s">
        <v>108</v>
      </c>
      <c r="G421" s="2" t="s">
        <v>100</v>
      </c>
      <c r="H421" s="1" t="s">
        <v>17</v>
      </c>
      <c r="I421" s="2" t="str">
        <f t="shared" si="321"/>
        <v>20</v>
      </c>
      <c r="J421" s="2" t="str">
        <f t="shared" si="322"/>
        <v>19</v>
      </c>
      <c r="K421" s="1">
        <f t="shared" si="323"/>
        <v>1</v>
      </c>
      <c r="M421" t="s">
        <v>18</v>
      </c>
      <c r="N421" t="s">
        <v>19</v>
      </c>
      <c r="O421" t="s">
        <v>20</v>
      </c>
    </row>
    <row r="422" spans="1:15" ht="14.25" customHeight="1">
      <c r="A422" s="5" t="str">
        <f t="shared" si="324"/>
        <v>518478</v>
      </c>
      <c r="B422" s="2" t="s">
        <v>691</v>
      </c>
      <c r="C422" s="1">
        <v>2510</v>
      </c>
      <c r="D422" s="1" t="s">
        <v>685</v>
      </c>
      <c r="E422" s="1">
        <v>6</v>
      </c>
      <c r="F422" s="1" t="s">
        <v>108</v>
      </c>
      <c r="G422" s="2" t="s">
        <v>100</v>
      </c>
      <c r="H422" s="1" t="s">
        <v>17</v>
      </c>
      <c r="I422" s="2" t="str">
        <f t="shared" si="321"/>
        <v>20</v>
      </c>
      <c r="J422" s="2" t="str">
        <f t="shared" si="322"/>
        <v>19</v>
      </c>
      <c r="K422" s="1">
        <f t="shared" si="323"/>
        <v>1</v>
      </c>
      <c r="M422" t="s">
        <v>18</v>
      </c>
      <c r="N422" t="s">
        <v>19</v>
      </c>
      <c r="O422" t="s">
        <v>20</v>
      </c>
    </row>
    <row r="423" spans="1:15" ht="14.25" customHeight="1">
      <c r="A423" s="5" t="str">
        <f t="shared" si="324"/>
        <v>518478</v>
      </c>
      <c r="B423" s="2" t="s">
        <v>692</v>
      </c>
      <c r="C423" s="1">
        <v>2510</v>
      </c>
      <c r="D423" s="1" t="s">
        <v>685</v>
      </c>
      <c r="E423" s="1">
        <v>4</v>
      </c>
      <c r="F423" s="1" t="s">
        <v>108</v>
      </c>
      <c r="G423" s="2" t="s">
        <v>100</v>
      </c>
      <c r="H423" s="1" t="s">
        <v>17</v>
      </c>
      <c r="I423" s="2" t="str">
        <f t="shared" si="321"/>
        <v>20</v>
      </c>
      <c r="J423" s="2" t="str">
        <f t="shared" si="322"/>
        <v>19</v>
      </c>
      <c r="K423" s="1">
        <f t="shared" si="323"/>
        <v>1</v>
      </c>
      <c r="M423" t="s">
        <v>18</v>
      </c>
      <c r="N423" t="s">
        <v>19</v>
      </c>
      <c r="O423" t="s">
        <v>20</v>
      </c>
    </row>
    <row r="424" spans="1:15" ht="14.25" customHeight="1">
      <c r="A424" s="5" t="str">
        <f t="shared" si="324"/>
        <v>525250</v>
      </c>
      <c r="B424" s="2" t="s">
        <v>693</v>
      </c>
      <c r="C424" s="1">
        <v>2510</v>
      </c>
      <c r="D424" s="1" t="s">
        <v>694</v>
      </c>
      <c r="E424" s="1">
        <v>4</v>
      </c>
      <c r="F424" s="1" t="s">
        <v>137</v>
      </c>
      <c r="G424" s="2" t="s">
        <v>142</v>
      </c>
      <c r="H424" s="1" t="s">
        <v>17</v>
      </c>
      <c r="I424" s="2" t="str">
        <f t="shared" si="321"/>
        <v>23</v>
      </c>
      <c r="J424" s="2" t="str">
        <f t="shared" si="322"/>
        <v>22</v>
      </c>
      <c r="K424" s="1">
        <f t="shared" si="323"/>
        <v>1</v>
      </c>
      <c r="M424" t="s">
        <v>18</v>
      </c>
      <c r="N424" t="s">
        <v>19</v>
      </c>
      <c r="O424" t="s">
        <v>20</v>
      </c>
    </row>
    <row r="425" spans="1:15" ht="14.25" customHeight="1">
      <c r="A425" s="5" t="str">
        <f t="shared" si="324"/>
        <v>525250</v>
      </c>
      <c r="B425" s="2" t="s">
        <v>695</v>
      </c>
      <c r="C425" s="1">
        <v>2510</v>
      </c>
      <c r="D425" s="1" t="s">
        <v>694</v>
      </c>
      <c r="E425" s="1">
        <v>4</v>
      </c>
      <c r="F425" s="1" t="s">
        <v>137</v>
      </c>
      <c r="G425" s="2" t="s">
        <v>142</v>
      </c>
      <c r="H425" s="1" t="s">
        <v>17</v>
      </c>
      <c r="I425" s="2" t="str">
        <f t="shared" si="321"/>
        <v>23</v>
      </c>
      <c r="J425" s="2" t="str">
        <f t="shared" si="322"/>
        <v>22</v>
      </c>
      <c r="K425" s="1">
        <f t="shared" si="323"/>
        <v>1</v>
      </c>
      <c r="M425" t="s">
        <v>18</v>
      </c>
      <c r="N425" t="s">
        <v>19</v>
      </c>
      <c r="O425" t="s">
        <v>20</v>
      </c>
    </row>
    <row r="426" spans="1:15" ht="14.25" customHeight="1">
      <c r="A426" s="5" t="str">
        <f t="shared" si="324"/>
        <v>525250</v>
      </c>
      <c r="B426" s="2" t="s">
        <v>696</v>
      </c>
      <c r="C426" s="1">
        <v>2510</v>
      </c>
      <c r="D426" s="1" t="s">
        <v>694</v>
      </c>
      <c r="E426" s="1">
        <v>6</v>
      </c>
      <c r="F426" s="1" t="s">
        <v>137</v>
      </c>
      <c r="G426" s="2" t="s">
        <v>142</v>
      </c>
      <c r="H426" s="1" t="s">
        <v>17</v>
      </c>
      <c r="I426" s="2" t="str">
        <f t="shared" si="321"/>
        <v>23</v>
      </c>
      <c r="J426" s="2" t="str">
        <f t="shared" si="322"/>
        <v>22</v>
      </c>
      <c r="K426" s="1">
        <f t="shared" si="323"/>
        <v>1</v>
      </c>
      <c r="M426" t="s">
        <v>18</v>
      </c>
      <c r="N426" t="s">
        <v>19</v>
      </c>
      <c r="O426" t="s">
        <v>20</v>
      </c>
    </row>
    <row r="427" spans="1:15" ht="14.25" customHeight="1">
      <c r="A427" s="5" t="str">
        <f t="shared" si="324"/>
        <v>525254</v>
      </c>
      <c r="B427" s="2" t="s">
        <v>697</v>
      </c>
      <c r="C427" s="1">
        <v>2510</v>
      </c>
      <c r="D427" s="1" t="s">
        <v>698</v>
      </c>
      <c r="E427" s="1">
        <v>4</v>
      </c>
      <c r="F427" s="1" t="s">
        <v>137</v>
      </c>
      <c r="G427" s="2" t="s">
        <v>142</v>
      </c>
      <c r="H427" s="1" t="s">
        <v>17</v>
      </c>
      <c r="I427" s="2" t="str">
        <f t="shared" si="321"/>
        <v>23</v>
      </c>
      <c r="J427" s="2" t="str">
        <f t="shared" si="322"/>
        <v>22</v>
      </c>
      <c r="K427" s="1">
        <f t="shared" si="323"/>
        <v>1</v>
      </c>
      <c r="M427" t="s">
        <v>18</v>
      </c>
      <c r="N427" t="s">
        <v>19</v>
      </c>
      <c r="O427" t="s">
        <v>20</v>
      </c>
    </row>
    <row r="428" spans="1:15" ht="14.25" customHeight="1">
      <c r="A428" s="5" t="str">
        <f t="shared" si="324"/>
        <v>525254</v>
      </c>
      <c r="B428" s="2" t="s">
        <v>699</v>
      </c>
      <c r="C428" s="1">
        <v>2510</v>
      </c>
      <c r="D428" s="1" t="s">
        <v>698</v>
      </c>
      <c r="E428" s="1">
        <v>6</v>
      </c>
      <c r="F428" s="1" t="s">
        <v>150</v>
      </c>
      <c r="G428" s="2" t="s">
        <v>142</v>
      </c>
      <c r="H428" s="1" t="s">
        <v>17</v>
      </c>
      <c r="I428" s="2" t="str">
        <f t="shared" si="321"/>
        <v>24</v>
      </c>
      <c r="J428" s="2" t="str">
        <f t="shared" si="322"/>
        <v>22</v>
      </c>
      <c r="K428" s="1">
        <f t="shared" si="323"/>
        <v>2</v>
      </c>
      <c r="M428" t="s">
        <v>18</v>
      </c>
      <c r="N428" t="s">
        <v>19</v>
      </c>
      <c r="O428" t="s">
        <v>20</v>
      </c>
    </row>
    <row r="429" spans="1:15" ht="14.25" customHeight="1">
      <c r="A429" s="5" t="str">
        <f t="shared" si="324"/>
        <v>525254</v>
      </c>
      <c r="B429" s="2" t="s">
        <v>700</v>
      </c>
      <c r="C429" s="1">
        <v>2510</v>
      </c>
      <c r="D429" s="1" t="s">
        <v>698</v>
      </c>
      <c r="E429" s="1">
        <v>4</v>
      </c>
      <c r="F429" s="1" t="s">
        <v>204</v>
      </c>
      <c r="G429" s="2" t="s">
        <v>142</v>
      </c>
      <c r="H429" s="1" t="s">
        <v>17</v>
      </c>
      <c r="I429" s="2" t="str">
        <f t="shared" si="321"/>
        <v>25</v>
      </c>
      <c r="J429" s="2" t="str">
        <f t="shared" si="322"/>
        <v>22</v>
      </c>
      <c r="K429" s="1">
        <f t="shared" si="323"/>
        <v>3</v>
      </c>
      <c r="M429" t="s">
        <v>18</v>
      </c>
      <c r="N429" t="s">
        <v>19</v>
      </c>
      <c r="O429" t="s">
        <v>20</v>
      </c>
    </row>
    <row r="430" spans="1:15" ht="14.25" customHeight="1">
      <c r="A430" s="5" t="str">
        <f t="shared" si="324"/>
        <v>525254</v>
      </c>
      <c r="B430" s="2" t="s">
        <v>701</v>
      </c>
      <c r="C430" s="1">
        <v>2510</v>
      </c>
      <c r="D430" s="1" t="s">
        <v>698</v>
      </c>
      <c r="E430" s="1">
        <v>8</v>
      </c>
      <c r="F430" s="1" t="s">
        <v>150</v>
      </c>
      <c r="G430" s="2" t="s">
        <v>142</v>
      </c>
      <c r="H430" s="1" t="s">
        <v>17</v>
      </c>
      <c r="I430" s="2" t="str">
        <f t="shared" si="321"/>
        <v>24</v>
      </c>
      <c r="J430" s="2" t="str">
        <f t="shared" si="322"/>
        <v>22</v>
      </c>
      <c r="K430" s="1">
        <f t="shared" si="323"/>
        <v>2</v>
      </c>
      <c r="M430" t="s">
        <v>18</v>
      </c>
      <c r="N430" t="s">
        <v>19</v>
      </c>
      <c r="O430" t="s">
        <v>20</v>
      </c>
    </row>
    <row r="431" spans="1:15" ht="14.25" customHeight="1">
      <c r="A431" s="5" t="str">
        <f t="shared" si="324"/>
        <v>528628</v>
      </c>
      <c r="B431" s="2" t="s">
        <v>702</v>
      </c>
      <c r="C431" s="1">
        <v>2510</v>
      </c>
      <c r="D431" s="1" t="s">
        <v>703</v>
      </c>
      <c r="E431" s="1">
        <v>1</v>
      </c>
      <c r="F431" s="1" t="s">
        <v>113</v>
      </c>
      <c r="G431" s="2" t="s">
        <v>108</v>
      </c>
      <c r="H431" s="1" t="s">
        <v>17</v>
      </c>
      <c r="I431" s="2" t="str">
        <f t="shared" si="321"/>
        <v>21</v>
      </c>
      <c r="J431" s="2" t="str">
        <f t="shared" si="322"/>
        <v>20</v>
      </c>
      <c r="K431" s="1">
        <f t="shared" si="323"/>
        <v>1</v>
      </c>
      <c r="M431" t="s">
        <v>24</v>
      </c>
      <c r="N431" t="s">
        <v>19</v>
      </c>
      <c r="O431" t="s">
        <v>20</v>
      </c>
    </row>
    <row r="432" spans="1:15" ht="14.25" customHeight="1">
      <c r="A432" s="5" t="str">
        <f t="shared" si="324"/>
        <v>528630</v>
      </c>
      <c r="B432" s="2" t="s">
        <v>704</v>
      </c>
      <c r="C432" s="1">
        <v>2510</v>
      </c>
      <c r="D432" s="1" t="s">
        <v>705</v>
      </c>
      <c r="E432" s="1">
        <v>1</v>
      </c>
      <c r="F432" s="1" t="s">
        <v>113</v>
      </c>
      <c r="G432" s="2" t="s">
        <v>108</v>
      </c>
      <c r="H432" s="1" t="s">
        <v>17</v>
      </c>
      <c r="I432" s="2" t="str">
        <f t="shared" si="321"/>
        <v>21</v>
      </c>
      <c r="J432" s="2" t="str">
        <f t="shared" si="322"/>
        <v>20</v>
      </c>
      <c r="K432" s="1">
        <f t="shared" si="323"/>
        <v>1</v>
      </c>
      <c r="M432" t="s">
        <v>24</v>
      </c>
      <c r="N432" t="s">
        <v>19</v>
      </c>
      <c r="O432" t="s">
        <v>20</v>
      </c>
    </row>
    <row r="433" spans="1:15" ht="14.25" customHeight="1">
      <c r="A433" s="5" t="str">
        <f t="shared" si="324"/>
        <v>528632</v>
      </c>
      <c r="B433" s="2" t="s">
        <v>706</v>
      </c>
      <c r="C433" s="1">
        <v>2510</v>
      </c>
      <c r="D433" s="1" t="s">
        <v>707</v>
      </c>
      <c r="E433" s="1">
        <v>1</v>
      </c>
      <c r="F433" s="1" t="s">
        <v>113</v>
      </c>
      <c r="G433" s="2" t="s">
        <v>108</v>
      </c>
      <c r="H433" s="1" t="s">
        <v>17</v>
      </c>
      <c r="I433" s="2" t="str">
        <f t="shared" si="321"/>
        <v>21</v>
      </c>
      <c r="J433" s="2" t="str">
        <f t="shared" si="322"/>
        <v>20</v>
      </c>
      <c r="K433" s="1">
        <f t="shared" si="323"/>
        <v>1</v>
      </c>
      <c r="M433" t="s">
        <v>24</v>
      </c>
      <c r="N433" t="s">
        <v>19</v>
      </c>
      <c r="O433" t="s">
        <v>20</v>
      </c>
    </row>
    <row r="434" spans="1:15" ht="14.25" customHeight="1">
      <c r="A434" s="5" t="str">
        <f t="shared" si="324"/>
        <v>528634</v>
      </c>
      <c r="B434" s="2" t="s">
        <v>708</v>
      </c>
      <c r="C434" s="1">
        <v>2510</v>
      </c>
      <c r="D434" s="1" t="s">
        <v>709</v>
      </c>
      <c r="E434" s="1">
        <v>1</v>
      </c>
      <c r="F434" s="1" t="s">
        <v>113</v>
      </c>
      <c r="G434" s="2" t="s">
        <v>108</v>
      </c>
      <c r="H434" s="1" t="s">
        <v>17</v>
      </c>
      <c r="I434" s="2" t="str">
        <f t="shared" si="321"/>
        <v>21</v>
      </c>
      <c r="J434" s="2" t="str">
        <f t="shared" si="322"/>
        <v>20</v>
      </c>
      <c r="K434" s="1">
        <f t="shared" si="323"/>
        <v>1</v>
      </c>
      <c r="M434" t="s">
        <v>24</v>
      </c>
      <c r="N434" t="s">
        <v>19</v>
      </c>
      <c r="O434" t="s">
        <v>20</v>
      </c>
    </row>
    <row r="435" spans="1:15" ht="14.25" customHeight="1">
      <c r="A435" s="5" t="str">
        <f t="shared" si="324"/>
        <v>528636</v>
      </c>
      <c r="B435" s="2" t="s">
        <v>710</v>
      </c>
      <c r="C435" s="1">
        <v>2510</v>
      </c>
      <c r="D435" s="1" t="s">
        <v>711</v>
      </c>
      <c r="E435" s="1">
        <v>1</v>
      </c>
      <c r="F435" s="1" t="s">
        <v>113</v>
      </c>
      <c r="G435" s="2" t="s">
        <v>108</v>
      </c>
      <c r="H435" s="1" t="s">
        <v>17</v>
      </c>
      <c r="I435" s="2" t="str">
        <f t="shared" si="321"/>
        <v>21</v>
      </c>
      <c r="J435" s="2" t="str">
        <f t="shared" si="322"/>
        <v>20</v>
      </c>
      <c r="K435" s="1">
        <f t="shared" si="323"/>
        <v>1</v>
      </c>
      <c r="M435" t="s">
        <v>24</v>
      </c>
      <c r="N435" t="s">
        <v>19</v>
      </c>
      <c r="O435" t="s">
        <v>20</v>
      </c>
    </row>
    <row r="436" spans="1:15" ht="14.25" customHeight="1">
      <c r="A436" s="5" t="str">
        <f t="shared" si="324"/>
        <v>540711</v>
      </c>
      <c r="B436" s="2" t="s">
        <v>712</v>
      </c>
      <c r="C436" s="1">
        <v>2510</v>
      </c>
      <c r="D436" s="1" t="s">
        <v>713</v>
      </c>
      <c r="E436" s="1">
        <v>11</v>
      </c>
      <c r="F436" s="1" t="s">
        <v>142</v>
      </c>
      <c r="G436" s="2" t="s">
        <v>142</v>
      </c>
      <c r="H436" s="1" t="s">
        <v>17</v>
      </c>
      <c r="I436" s="2" t="str">
        <f t="shared" si="321"/>
        <v>22</v>
      </c>
      <c r="J436" s="2" t="str">
        <f t="shared" si="322"/>
        <v>22</v>
      </c>
      <c r="K436" s="1">
        <f t="shared" si="323"/>
        <v>0</v>
      </c>
      <c r="M436" t="s">
        <v>18</v>
      </c>
      <c r="N436" t="s">
        <v>19</v>
      </c>
      <c r="O436" t="s">
        <v>20</v>
      </c>
    </row>
    <row r="437" spans="1:15" ht="14.25" customHeight="1">
      <c r="A437" s="5" t="str">
        <f t="shared" si="324"/>
        <v>540711</v>
      </c>
      <c r="B437" s="2" t="s">
        <v>714</v>
      </c>
      <c r="C437" s="1">
        <v>2510</v>
      </c>
      <c r="D437" s="1" t="s">
        <v>713</v>
      </c>
      <c r="E437" s="1">
        <v>11</v>
      </c>
      <c r="F437" s="1" t="s">
        <v>137</v>
      </c>
      <c r="G437" s="2" t="s">
        <v>137</v>
      </c>
      <c r="H437" s="1" t="s">
        <v>17</v>
      </c>
      <c r="I437" s="2" t="str">
        <f t="shared" si="321"/>
        <v>23</v>
      </c>
      <c r="J437" s="2" t="str">
        <f t="shared" si="322"/>
        <v>23</v>
      </c>
      <c r="K437" s="1">
        <f t="shared" si="323"/>
        <v>0</v>
      </c>
      <c r="M437" t="s">
        <v>18</v>
      </c>
      <c r="N437" t="s">
        <v>19</v>
      </c>
      <c r="O437" t="s">
        <v>20</v>
      </c>
    </row>
    <row r="438" spans="1:15" ht="14.25" customHeight="1">
      <c r="A438" s="5" t="str">
        <f t="shared" si="324"/>
        <v>540711</v>
      </c>
      <c r="B438" s="2" t="s">
        <v>715</v>
      </c>
      <c r="C438" s="1">
        <v>2510</v>
      </c>
      <c r="D438" s="1" t="s">
        <v>713</v>
      </c>
      <c r="E438" s="1">
        <v>14</v>
      </c>
      <c r="F438" s="1" t="s">
        <v>137</v>
      </c>
      <c r="G438" s="2" t="s">
        <v>137</v>
      </c>
      <c r="H438" s="1" t="s">
        <v>17</v>
      </c>
      <c r="I438" s="2" t="str">
        <f t="shared" si="321"/>
        <v>23</v>
      </c>
      <c r="J438" s="2" t="str">
        <f t="shared" si="322"/>
        <v>23</v>
      </c>
      <c r="K438" s="1">
        <f t="shared" si="323"/>
        <v>0</v>
      </c>
      <c r="M438" t="s">
        <v>18</v>
      </c>
      <c r="N438" t="s">
        <v>19</v>
      </c>
      <c r="O438" t="s">
        <v>20</v>
      </c>
    </row>
    <row r="439" spans="1:15" ht="14.25" customHeight="1">
      <c r="A439" s="5" t="str">
        <f t="shared" si="324"/>
        <v>490511</v>
      </c>
      <c r="B439" s="2" t="s">
        <v>716</v>
      </c>
      <c r="C439" s="1">
        <v>2510</v>
      </c>
      <c r="D439" s="1" t="s">
        <v>717</v>
      </c>
      <c r="E439" s="1">
        <v>1</v>
      </c>
      <c r="F439" s="1" t="s">
        <v>113</v>
      </c>
      <c r="G439" s="2" t="s">
        <v>108</v>
      </c>
      <c r="H439" s="1" t="s">
        <v>17</v>
      </c>
      <c r="I439" s="2" t="str">
        <f t="shared" si="321"/>
        <v>21</v>
      </c>
      <c r="J439" s="2" t="str">
        <f t="shared" si="322"/>
        <v>20</v>
      </c>
      <c r="K439" s="1">
        <f t="shared" si="323"/>
        <v>1</v>
      </c>
      <c r="M439" t="s">
        <v>24</v>
      </c>
      <c r="N439" t="s">
        <v>50</v>
      </c>
      <c r="O439" t="s">
        <v>20</v>
      </c>
    </row>
    <row r="440" spans="1:15" ht="14.25" customHeight="1">
      <c r="A440" s="5" t="str">
        <f t="shared" si="324"/>
        <v>490511</v>
      </c>
      <c r="B440" s="2" t="s">
        <v>718</v>
      </c>
      <c r="C440" s="1">
        <v>2510</v>
      </c>
      <c r="D440" s="1" t="s">
        <v>717</v>
      </c>
      <c r="E440" s="1">
        <v>3</v>
      </c>
      <c r="F440" s="1" t="s">
        <v>113</v>
      </c>
      <c r="G440" s="2" t="s">
        <v>108</v>
      </c>
      <c r="H440" s="1" t="s">
        <v>17</v>
      </c>
      <c r="I440" s="2" t="str">
        <f t="shared" ref="I440:I503" si="325">LEFT(F440,2)</f>
        <v>21</v>
      </c>
      <c r="J440" s="2" t="str">
        <f t="shared" ref="J440:J503" si="326">LEFT(G440,2)</f>
        <v>20</v>
      </c>
      <c r="K440" s="1">
        <f t="shared" ref="K440:K503" si="327">I440-J440</f>
        <v>1</v>
      </c>
      <c r="M440" t="s">
        <v>24</v>
      </c>
      <c r="N440" t="s">
        <v>50</v>
      </c>
      <c r="O440" t="s">
        <v>20</v>
      </c>
    </row>
    <row r="441" spans="1:15" ht="14.25" customHeight="1">
      <c r="A441" s="5" t="str">
        <f t="shared" si="324"/>
        <v>493803</v>
      </c>
      <c r="B441" s="2" t="s">
        <v>719</v>
      </c>
      <c r="C441" s="1">
        <v>2510</v>
      </c>
      <c r="D441" s="1" t="s">
        <v>720</v>
      </c>
      <c r="E441" s="1">
        <v>7</v>
      </c>
      <c r="F441" s="1" t="s">
        <v>137</v>
      </c>
      <c r="G441" s="2" t="s">
        <v>100</v>
      </c>
      <c r="H441" s="1" t="s">
        <v>17</v>
      </c>
      <c r="I441" s="2" t="str">
        <f t="shared" si="325"/>
        <v>23</v>
      </c>
      <c r="J441" s="2" t="str">
        <f t="shared" si="326"/>
        <v>19</v>
      </c>
      <c r="K441" s="1">
        <f t="shared" si="327"/>
        <v>4</v>
      </c>
      <c r="M441" t="s">
        <v>18</v>
      </c>
      <c r="N441" t="s">
        <v>50</v>
      </c>
      <c r="O441" t="s">
        <v>20</v>
      </c>
    </row>
    <row r="442" spans="1:15" ht="14.25" customHeight="1">
      <c r="A442" s="5" t="str">
        <f t="shared" si="324"/>
        <v>493814</v>
      </c>
      <c r="B442" s="2" t="s">
        <v>721</v>
      </c>
      <c r="C442" s="1">
        <v>2510</v>
      </c>
      <c r="D442" s="1" t="s">
        <v>722</v>
      </c>
      <c r="E442" s="1">
        <v>2</v>
      </c>
      <c r="F442" s="1" t="s">
        <v>137</v>
      </c>
      <c r="G442" s="2" t="s">
        <v>137</v>
      </c>
      <c r="H442" s="1" t="s">
        <v>17</v>
      </c>
      <c r="I442" s="2" t="str">
        <f t="shared" si="325"/>
        <v>23</v>
      </c>
      <c r="J442" s="2" t="str">
        <f t="shared" si="326"/>
        <v>23</v>
      </c>
      <c r="K442" s="1">
        <f t="shared" si="327"/>
        <v>0</v>
      </c>
      <c r="M442" t="s">
        <v>106</v>
      </c>
      <c r="N442" t="s">
        <v>50</v>
      </c>
      <c r="O442" t="s">
        <v>20</v>
      </c>
    </row>
    <row r="443" spans="1:15" ht="14.25" customHeight="1">
      <c r="A443" s="5" t="str">
        <f t="shared" si="324"/>
        <v>493814</v>
      </c>
      <c r="B443" s="2" t="s">
        <v>723</v>
      </c>
      <c r="C443" s="1">
        <v>2510</v>
      </c>
      <c r="D443" s="1" t="s">
        <v>722</v>
      </c>
      <c r="E443" s="1">
        <v>1</v>
      </c>
      <c r="F443" s="1" t="s">
        <v>137</v>
      </c>
      <c r="G443" s="2" t="s">
        <v>137</v>
      </c>
      <c r="H443" s="1" t="s">
        <v>17</v>
      </c>
      <c r="I443" s="2" t="str">
        <f t="shared" si="325"/>
        <v>23</v>
      </c>
      <c r="J443" s="2" t="str">
        <f t="shared" si="326"/>
        <v>23</v>
      </c>
      <c r="K443" s="1">
        <f t="shared" si="327"/>
        <v>0</v>
      </c>
      <c r="M443" t="s">
        <v>106</v>
      </c>
      <c r="N443" t="s">
        <v>50</v>
      </c>
      <c r="O443" t="s">
        <v>20</v>
      </c>
    </row>
    <row r="444" spans="1:15" ht="14.25" customHeight="1">
      <c r="A444" s="5" t="str">
        <f t="shared" si="324"/>
        <v>495037</v>
      </c>
      <c r="B444" s="2" t="s">
        <v>724</v>
      </c>
      <c r="C444" s="1">
        <v>2510</v>
      </c>
      <c r="D444" s="1" t="s">
        <v>725</v>
      </c>
      <c r="E444" s="1">
        <v>4</v>
      </c>
      <c r="F444" s="1" t="s">
        <v>137</v>
      </c>
      <c r="G444" s="2" t="s">
        <v>33</v>
      </c>
      <c r="H444" s="1" t="s">
        <v>17</v>
      </c>
      <c r="I444" s="2" t="str">
        <f t="shared" si="325"/>
        <v>23</v>
      </c>
      <c r="J444" s="2" t="str">
        <f t="shared" si="326"/>
        <v>16</v>
      </c>
      <c r="K444" s="1">
        <f t="shared" si="327"/>
        <v>7</v>
      </c>
      <c r="M444" t="s">
        <v>151</v>
      </c>
      <c r="N444" t="s">
        <v>50</v>
      </c>
      <c r="O444" t="s">
        <v>20</v>
      </c>
    </row>
    <row r="445" spans="1:15" ht="14.25" customHeight="1">
      <c r="A445" s="5" t="str">
        <f t="shared" si="324"/>
        <v>495037</v>
      </c>
      <c r="B445" s="2" t="s">
        <v>726</v>
      </c>
      <c r="C445" s="1">
        <v>2510</v>
      </c>
      <c r="D445" s="1" t="s">
        <v>725</v>
      </c>
      <c r="E445" s="1">
        <v>2</v>
      </c>
      <c r="F445" s="1" t="s">
        <v>137</v>
      </c>
      <c r="G445" s="2" t="s">
        <v>33</v>
      </c>
      <c r="H445" s="1" t="s">
        <v>17</v>
      </c>
      <c r="I445" s="2" t="str">
        <f t="shared" si="325"/>
        <v>23</v>
      </c>
      <c r="J445" s="2" t="str">
        <f t="shared" si="326"/>
        <v>16</v>
      </c>
      <c r="K445" s="1">
        <f t="shared" si="327"/>
        <v>7</v>
      </c>
      <c r="M445" t="s">
        <v>151</v>
      </c>
      <c r="N445" t="s">
        <v>50</v>
      </c>
      <c r="O445" t="s">
        <v>20</v>
      </c>
    </row>
    <row r="446" spans="1:15" ht="14.25" customHeight="1">
      <c r="A446" s="5" t="str">
        <f t="shared" si="324"/>
        <v>495037</v>
      </c>
      <c r="B446" s="2" t="s">
        <v>727</v>
      </c>
      <c r="C446" s="1">
        <v>2510</v>
      </c>
      <c r="D446" s="1" t="s">
        <v>725</v>
      </c>
      <c r="E446" s="1">
        <v>2</v>
      </c>
      <c r="F446" s="1" t="s">
        <v>204</v>
      </c>
      <c r="G446" s="2" t="s">
        <v>33</v>
      </c>
      <c r="H446" s="1" t="s">
        <v>17</v>
      </c>
      <c r="I446" s="2" t="str">
        <f t="shared" si="325"/>
        <v>25</v>
      </c>
      <c r="J446" s="2" t="str">
        <f t="shared" si="326"/>
        <v>16</v>
      </c>
      <c r="K446" s="1">
        <f t="shared" si="327"/>
        <v>9</v>
      </c>
      <c r="M446" t="s">
        <v>151</v>
      </c>
      <c r="N446" t="s">
        <v>50</v>
      </c>
      <c r="O446" t="s">
        <v>20</v>
      </c>
    </row>
    <row r="447" spans="1:15" ht="14.25" customHeight="1">
      <c r="A447" s="5" t="str">
        <f t="shared" si="324"/>
        <v>495037</v>
      </c>
      <c r="B447" s="2" t="s">
        <v>728</v>
      </c>
      <c r="C447" s="1">
        <v>2510</v>
      </c>
      <c r="D447" s="1" t="s">
        <v>725</v>
      </c>
      <c r="E447" s="1">
        <v>4</v>
      </c>
      <c r="F447" s="1" t="s">
        <v>150</v>
      </c>
      <c r="G447" s="2" t="s">
        <v>33</v>
      </c>
      <c r="H447" s="1" t="s">
        <v>17</v>
      </c>
      <c r="I447" s="2" t="str">
        <f t="shared" si="325"/>
        <v>24</v>
      </c>
      <c r="J447" s="2" t="str">
        <f t="shared" si="326"/>
        <v>16</v>
      </c>
      <c r="K447" s="1">
        <f t="shared" si="327"/>
        <v>8</v>
      </c>
      <c r="M447" t="s">
        <v>151</v>
      </c>
      <c r="N447" t="s">
        <v>50</v>
      </c>
      <c r="O447" t="s">
        <v>20</v>
      </c>
    </row>
    <row r="448" spans="1:15" ht="14.25" customHeight="1">
      <c r="A448" s="5" t="str">
        <f t="shared" si="324"/>
        <v>495037</v>
      </c>
      <c r="B448" s="2" t="s">
        <v>729</v>
      </c>
      <c r="C448" s="1">
        <v>2510</v>
      </c>
      <c r="D448" s="1" t="s">
        <v>725</v>
      </c>
      <c r="E448" s="1">
        <v>4</v>
      </c>
      <c r="F448" s="1" t="s">
        <v>137</v>
      </c>
      <c r="G448" s="2" t="s">
        <v>33</v>
      </c>
      <c r="H448" s="1" t="s">
        <v>17</v>
      </c>
      <c r="I448" s="2" t="str">
        <f t="shared" si="325"/>
        <v>23</v>
      </c>
      <c r="J448" s="2" t="str">
        <f t="shared" si="326"/>
        <v>16</v>
      </c>
      <c r="K448" s="1">
        <f t="shared" si="327"/>
        <v>7</v>
      </c>
      <c r="M448" t="s">
        <v>151</v>
      </c>
      <c r="N448" t="s">
        <v>50</v>
      </c>
      <c r="O448" t="s">
        <v>20</v>
      </c>
    </row>
    <row r="449" spans="1:15" ht="14.25" customHeight="1">
      <c r="A449" s="5" t="str">
        <f t="shared" si="324"/>
        <v>510963</v>
      </c>
      <c r="B449" s="2" t="s">
        <v>730</v>
      </c>
      <c r="C449" s="1">
        <v>2510</v>
      </c>
      <c r="D449" s="1" t="s">
        <v>731</v>
      </c>
      <c r="E449" s="1">
        <v>1</v>
      </c>
      <c r="F449" s="1" t="s">
        <v>137</v>
      </c>
      <c r="G449" s="2" t="s">
        <v>108</v>
      </c>
      <c r="H449" s="1" t="s">
        <v>17</v>
      </c>
      <c r="I449" s="2" t="str">
        <f t="shared" si="325"/>
        <v>23</v>
      </c>
      <c r="J449" s="2" t="str">
        <f t="shared" si="326"/>
        <v>20</v>
      </c>
      <c r="K449" s="1">
        <f t="shared" si="327"/>
        <v>3</v>
      </c>
      <c r="M449" t="s">
        <v>732</v>
      </c>
      <c r="N449" t="s">
        <v>50</v>
      </c>
      <c r="O449" t="s">
        <v>20</v>
      </c>
    </row>
    <row r="450" spans="1:15" ht="14.25" customHeight="1">
      <c r="A450" s="5" t="str">
        <f t="shared" si="324"/>
        <v>510963</v>
      </c>
      <c r="B450" s="2" t="s">
        <v>733</v>
      </c>
      <c r="C450" s="1">
        <v>2510</v>
      </c>
      <c r="D450" s="1" t="s">
        <v>731</v>
      </c>
      <c r="E450" s="1">
        <v>1</v>
      </c>
      <c r="F450" s="1" t="s">
        <v>150</v>
      </c>
      <c r="G450" s="2" t="s">
        <v>108</v>
      </c>
      <c r="H450" s="1" t="s">
        <v>17</v>
      </c>
      <c r="I450" s="2" t="str">
        <f t="shared" si="325"/>
        <v>24</v>
      </c>
      <c r="J450" s="2" t="str">
        <f t="shared" si="326"/>
        <v>20</v>
      </c>
      <c r="K450" s="1">
        <f t="shared" si="327"/>
        <v>4</v>
      </c>
      <c r="M450" t="s">
        <v>732</v>
      </c>
      <c r="N450" t="s">
        <v>50</v>
      </c>
      <c r="O450" t="s">
        <v>20</v>
      </c>
    </row>
    <row r="451" spans="1:15" ht="14.25" customHeight="1">
      <c r="A451" s="5" t="str">
        <f t="shared" ref="A451:A514" si="328">LEFT(B451,6)</f>
        <v>510968</v>
      </c>
      <c r="B451" s="2" t="s">
        <v>734</v>
      </c>
      <c r="C451" s="1">
        <v>2510</v>
      </c>
      <c r="D451" s="1" t="s">
        <v>735</v>
      </c>
      <c r="E451" s="1">
        <v>1</v>
      </c>
      <c r="F451" s="1" t="s">
        <v>113</v>
      </c>
      <c r="G451" s="2" t="s">
        <v>108</v>
      </c>
      <c r="H451" s="1" t="s">
        <v>17</v>
      </c>
      <c r="I451" s="2" t="str">
        <f t="shared" si="325"/>
        <v>21</v>
      </c>
      <c r="J451" s="2" t="str">
        <f t="shared" si="326"/>
        <v>20</v>
      </c>
      <c r="K451" s="1">
        <f t="shared" si="327"/>
        <v>1</v>
      </c>
      <c r="M451" t="s">
        <v>736</v>
      </c>
      <c r="N451" t="s">
        <v>50</v>
      </c>
      <c r="O451" t="s">
        <v>20</v>
      </c>
    </row>
    <row r="452" spans="1:15" ht="14.25" customHeight="1">
      <c r="A452" s="5" t="str">
        <f t="shared" si="328"/>
        <v>510968</v>
      </c>
      <c r="B452" s="2" t="s">
        <v>737</v>
      </c>
      <c r="C452" s="1">
        <v>2510</v>
      </c>
      <c r="D452" s="1" t="s">
        <v>735</v>
      </c>
      <c r="E452" s="1">
        <v>1</v>
      </c>
      <c r="F452" s="1" t="s">
        <v>113</v>
      </c>
      <c r="G452" s="2" t="s">
        <v>108</v>
      </c>
      <c r="H452" s="1" t="s">
        <v>17</v>
      </c>
      <c r="I452" s="2" t="str">
        <f t="shared" si="325"/>
        <v>21</v>
      </c>
      <c r="J452" s="2" t="str">
        <f t="shared" si="326"/>
        <v>20</v>
      </c>
      <c r="K452" s="1">
        <f t="shared" si="327"/>
        <v>1</v>
      </c>
      <c r="M452" t="s">
        <v>736</v>
      </c>
      <c r="N452" t="s">
        <v>50</v>
      </c>
      <c r="O452" t="s">
        <v>20</v>
      </c>
    </row>
    <row r="453" spans="1:15" ht="14.25" customHeight="1">
      <c r="A453" s="5" t="str">
        <f t="shared" si="328"/>
        <v>514014</v>
      </c>
      <c r="B453" s="2" t="s">
        <v>738</v>
      </c>
      <c r="C453" s="1">
        <v>2510</v>
      </c>
      <c r="D453" s="1" t="s">
        <v>739</v>
      </c>
      <c r="E453" s="1">
        <v>9</v>
      </c>
      <c r="F453" s="1" t="s">
        <v>113</v>
      </c>
      <c r="G453" s="2" t="s">
        <v>100</v>
      </c>
      <c r="H453" s="1" t="s">
        <v>17</v>
      </c>
      <c r="I453" s="2" t="str">
        <f t="shared" si="325"/>
        <v>21</v>
      </c>
      <c r="J453" s="2" t="str">
        <f t="shared" si="326"/>
        <v>19</v>
      </c>
      <c r="K453" s="1">
        <f t="shared" si="327"/>
        <v>2</v>
      </c>
      <c r="M453" t="s">
        <v>18</v>
      </c>
      <c r="N453" t="s">
        <v>50</v>
      </c>
      <c r="O453" t="s">
        <v>20</v>
      </c>
    </row>
    <row r="454" spans="1:15" ht="14.25" customHeight="1">
      <c r="A454" s="5" t="str">
        <f t="shared" si="328"/>
        <v>514014</v>
      </c>
      <c r="B454" s="2" t="s">
        <v>740</v>
      </c>
      <c r="C454" s="1">
        <v>2510</v>
      </c>
      <c r="D454" s="1" t="s">
        <v>739</v>
      </c>
      <c r="E454" s="1">
        <v>7</v>
      </c>
      <c r="F454" s="1" t="s">
        <v>113</v>
      </c>
      <c r="G454" s="2" t="s">
        <v>100</v>
      </c>
      <c r="H454" s="1" t="s">
        <v>17</v>
      </c>
      <c r="I454" s="2" t="str">
        <f t="shared" si="325"/>
        <v>21</v>
      </c>
      <c r="J454" s="2" t="str">
        <f t="shared" si="326"/>
        <v>19</v>
      </c>
      <c r="K454" s="1">
        <f t="shared" si="327"/>
        <v>2</v>
      </c>
      <c r="M454" t="s">
        <v>18</v>
      </c>
      <c r="N454" t="s">
        <v>50</v>
      </c>
      <c r="O454" t="s">
        <v>20</v>
      </c>
    </row>
    <row r="455" spans="1:15" ht="14.25" customHeight="1">
      <c r="A455" s="5" t="str">
        <f t="shared" si="328"/>
        <v>514014</v>
      </c>
      <c r="B455" s="2" t="s">
        <v>741</v>
      </c>
      <c r="C455" s="1">
        <v>2510</v>
      </c>
      <c r="D455" s="1" t="s">
        <v>739</v>
      </c>
      <c r="E455" s="1">
        <v>2</v>
      </c>
      <c r="F455" s="1" t="s">
        <v>113</v>
      </c>
      <c r="G455" s="2" t="s">
        <v>100</v>
      </c>
      <c r="H455" s="1" t="s">
        <v>17</v>
      </c>
      <c r="I455" s="2" t="str">
        <f t="shared" si="325"/>
        <v>21</v>
      </c>
      <c r="J455" s="2" t="str">
        <f t="shared" si="326"/>
        <v>19</v>
      </c>
      <c r="K455" s="1">
        <f t="shared" si="327"/>
        <v>2</v>
      </c>
      <c r="M455" t="s">
        <v>18</v>
      </c>
      <c r="N455" t="s">
        <v>50</v>
      </c>
      <c r="O455" t="s">
        <v>20</v>
      </c>
    </row>
    <row r="456" spans="1:15" ht="14.25" customHeight="1">
      <c r="A456" s="5" t="str">
        <f t="shared" si="328"/>
        <v>514225</v>
      </c>
      <c r="B456" s="2" t="s">
        <v>742</v>
      </c>
      <c r="C456" s="1">
        <v>2510</v>
      </c>
      <c r="D456" s="1" t="s">
        <v>743</v>
      </c>
      <c r="E456" s="1">
        <v>3</v>
      </c>
      <c r="F456" s="1" t="s">
        <v>108</v>
      </c>
      <c r="G456" s="2" t="s">
        <v>64</v>
      </c>
      <c r="H456" s="1" t="s">
        <v>17</v>
      </c>
      <c r="I456" s="2" t="str">
        <f t="shared" si="325"/>
        <v>20</v>
      </c>
      <c r="J456" s="2" t="str">
        <f t="shared" si="326"/>
        <v>17</v>
      </c>
      <c r="K456" s="1">
        <f t="shared" si="327"/>
        <v>3</v>
      </c>
      <c r="M456" t="s">
        <v>34</v>
      </c>
      <c r="N456" t="s">
        <v>50</v>
      </c>
      <c r="O456" t="s">
        <v>20</v>
      </c>
    </row>
    <row r="457" spans="1:15" ht="14.25" customHeight="1">
      <c r="A457" s="5" t="str">
        <f t="shared" si="328"/>
        <v>514225</v>
      </c>
      <c r="B457" s="2" t="s">
        <v>744</v>
      </c>
      <c r="C457" s="1">
        <v>2510</v>
      </c>
      <c r="D457" s="1" t="s">
        <v>743</v>
      </c>
      <c r="E457" s="1">
        <v>4</v>
      </c>
      <c r="F457" s="1" t="s">
        <v>108</v>
      </c>
      <c r="G457" s="2" t="s">
        <v>64</v>
      </c>
      <c r="H457" s="1" t="s">
        <v>17</v>
      </c>
      <c r="I457" s="2" t="str">
        <f t="shared" si="325"/>
        <v>20</v>
      </c>
      <c r="J457" s="2" t="str">
        <f t="shared" si="326"/>
        <v>17</v>
      </c>
      <c r="K457" s="1">
        <f t="shared" si="327"/>
        <v>3</v>
      </c>
      <c r="M457" t="s">
        <v>34</v>
      </c>
      <c r="N457" t="s">
        <v>50</v>
      </c>
      <c r="O457" t="s">
        <v>20</v>
      </c>
    </row>
    <row r="458" spans="1:15" ht="14.25" customHeight="1">
      <c r="A458" s="5" t="str">
        <f t="shared" si="328"/>
        <v>514225</v>
      </c>
      <c r="B458" s="2" t="s">
        <v>745</v>
      </c>
      <c r="C458" s="1">
        <v>2510</v>
      </c>
      <c r="D458" s="1" t="s">
        <v>743</v>
      </c>
      <c r="E458" s="1">
        <v>3</v>
      </c>
      <c r="F458" s="1" t="s">
        <v>108</v>
      </c>
      <c r="G458" s="2" t="s">
        <v>64</v>
      </c>
      <c r="H458" s="1" t="s">
        <v>17</v>
      </c>
      <c r="I458" s="2" t="str">
        <f t="shared" si="325"/>
        <v>20</v>
      </c>
      <c r="J458" s="2" t="str">
        <f t="shared" si="326"/>
        <v>17</v>
      </c>
      <c r="K458" s="1">
        <f t="shared" si="327"/>
        <v>3</v>
      </c>
      <c r="M458" t="s">
        <v>34</v>
      </c>
      <c r="N458" t="s">
        <v>50</v>
      </c>
      <c r="O458" t="s">
        <v>20</v>
      </c>
    </row>
    <row r="459" spans="1:15" ht="14.25" customHeight="1">
      <c r="A459" s="5" t="str">
        <f t="shared" si="328"/>
        <v>514340</v>
      </c>
      <c r="B459" s="2" t="s">
        <v>746</v>
      </c>
      <c r="C459" s="1">
        <v>2510</v>
      </c>
      <c r="D459" s="1" t="s">
        <v>747</v>
      </c>
      <c r="E459" s="1">
        <v>21</v>
      </c>
      <c r="F459" s="1" t="s">
        <v>113</v>
      </c>
      <c r="G459" s="2" t="s">
        <v>108</v>
      </c>
      <c r="H459" s="1" t="s">
        <v>17</v>
      </c>
      <c r="I459" s="2" t="str">
        <f t="shared" si="325"/>
        <v>21</v>
      </c>
      <c r="J459" s="2" t="str">
        <f t="shared" si="326"/>
        <v>20</v>
      </c>
      <c r="K459" s="1">
        <f t="shared" si="327"/>
        <v>1</v>
      </c>
      <c r="M459" t="s">
        <v>27</v>
      </c>
      <c r="N459" t="s">
        <v>50</v>
      </c>
      <c r="O459" t="s">
        <v>20</v>
      </c>
    </row>
    <row r="460" spans="1:15" ht="14.25" customHeight="1">
      <c r="A460" s="5" t="str">
        <f t="shared" si="328"/>
        <v>514340</v>
      </c>
      <c r="B460" s="2" t="s">
        <v>748</v>
      </c>
      <c r="C460" s="1">
        <v>2510</v>
      </c>
      <c r="D460" s="1" t="s">
        <v>747</v>
      </c>
      <c r="E460" s="1">
        <v>4</v>
      </c>
      <c r="F460" s="1" t="s">
        <v>113</v>
      </c>
      <c r="G460" s="2" t="s">
        <v>108</v>
      </c>
      <c r="H460" s="1" t="s">
        <v>17</v>
      </c>
      <c r="I460" s="2" t="str">
        <f t="shared" si="325"/>
        <v>21</v>
      </c>
      <c r="J460" s="2" t="str">
        <f t="shared" si="326"/>
        <v>20</v>
      </c>
      <c r="K460" s="1">
        <f t="shared" si="327"/>
        <v>1</v>
      </c>
      <c r="M460" t="s">
        <v>27</v>
      </c>
      <c r="N460" t="s">
        <v>50</v>
      </c>
      <c r="O460" t="s">
        <v>20</v>
      </c>
    </row>
    <row r="461" spans="1:15" ht="14.25" customHeight="1">
      <c r="A461" s="5" t="str">
        <f t="shared" si="328"/>
        <v>514340</v>
      </c>
      <c r="B461" s="2" t="s">
        <v>749</v>
      </c>
      <c r="C461" s="1">
        <v>2510</v>
      </c>
      <c r="D461" s="1" t="s">
        <v>747</v>
      </c>
      <c r="E461" s="1">
        <v>7</v>
      </c>
      <c r="F461" s="1" t="s">
        <v>113</v>
      </c>
      <c r="G461" s="2" t="s">
        <v>108</v>
      </c>
      <c r="H461" s="1" t="s">
        <v>17</v>
      </c>
      <c r="I461" s="2" t="str">
        <f t="shared" si="325"/>
        <v>21</v>
      </c>
      <c r="J461" s="2" t="str">
        <f t="shared" si="326"/>
        <v>20</v>
      </c>
      <c r="K461" s="1">
        <f t="shared" si="327"/>
        <v>1</v>
      </c>
      <c r="M461" t="s">
        <v>27</v>
      </c>
      <c r="N461" t="s">
        <v>50</v>
      </c>
      <c r="O461" t="s">
        <v>20</v>
      </c>
    </row>
    <row r="462" spans="1:15" ht="14.25" customHeight="1">
      <c r="A462" s="5" t="str">
        <f t="shared" si="328"/>
        <v>514347</v>
      </c>
      <c r="B462" s="2" t="s">
        <v>750</v>
      </c>
      <c r="C462" s="1">
        <v>2510</v>
      </c>
      <c r="D462" s="1" t="s">
        <v>751</v>
      </c>
      <c r="E462" s="1">
        <v>3</v>
      </c>
      <c r="F462" s="1" t="s">
        <v>113</v>
      </c>
      <c r="G462" s="2" t="s">
        <v>108</v>
      </c>
      <c r="H462" s="1" t="s">
        <v>17</v>
      </c>
      <c r="I462" s="2" t="str">
        <f t="shared" si="325"/>
        <v>21</v>
      </c>
      <c r="J462" s="2" t="str">
        <f t="shared" si="326"/>
        <v>20</v>
      </c>
      <c r="K462" s="1">
        <f t="shared" si="327"/>
        <v>1</v>
      </c>
      <c r="M462" t="s">
        <v>24</v>
      </c>
      <c r="N462" t="s">
        <v>50</v>
      </c>
      <c r="O462" t="s">
        <v>20</v>
      </c>
    </row>
    <row r="463" spans="1:15" ht="14.25" customHeight="1">
      <c r="A463" s="5" t="str">
        <f t="shared" si="328"/>
        <v>514347</v>
      </c>
      <c r="B463" s="2" t="s">
        <v>752</v>
      </c>
      <c r="C463" s="1">
        <v>2510</v>
      </c>
      <c r="D463" s="1" t="s">
        <v>751</v>
      </c>
      <c r="E463" s="1">
        <v>2</v>
      </c>
      <c r="F463" s="1" t="s">
        <v>113</v>
      </c>
      <c r="G463" s="2" t="s">
        <v>108</v>
      </c>
      <c r="H463" s="1" t="s">
        <v>17</v>
      </c>
      <c r="I463" s="2" t="str">
        <f t="shared" si="325"/>
        <v>21</v>
      </c>
      <c r="J463" s="2" t="str">
        <f t="shared" si="326"/>
        <v>20</v>
      </c>
      <c r="K463" s="1">
        <f t="shared" si="327"/>
        <v>1</v>
      </c>
      <c r="M463" t="s">
        <v>24</v>
      </c>
      <c r="N463" t="s">
        <v>50</v>
      </c>
      <c r="O463" t="s">
        <v>20</v>
      </c>
    </row>
    <row r="464" spans="1:15" ht="14.25" customHeight="1">
      <c r="A464" s="5" t="str">
        <f t="shared" si="328"/>
        <v>514347</v>
      </c>
      <c r="B464" s="2" t="s">
        <v>753</v>
      </c>
      <c r="C464" s="1">
        <v>2510</v>
      </c>
      <c r="D464" s="1" t="s">
        <v>751</v>
      </c>
      <c r="E464" s="1">
        <v>4</v>
      </c>
      <c r="F464" s="1" t="s">
        <v>113</v>
      </c>
      <c r="G464" s="2" t="s">
        <v>108</v>
      </c>
      <c r="H464" s="1" t="s">
        <v>17</v>
      </c>
      <c r="I464" s="2" t="str">
        <f t="shared" si="325"/>
        <v>21</v>
      </c>
      <c r="J464" s="2" t="str">
        <f t="shared" si="326"/>
        <v>20</v>
      </c>
      <c r="K464" s="1">
        <f t="shared" si="327"/>
        <v>1</v>
      </c>
      <c r="M464" t="s">
        <v>24</v>
      </c>
      <c r="N464" t="s">
        <v>50</v>
      </c>
      <c r="O464" t="s">
        <v>20</v>
      </c>
    </row>
    <row r="465" spans="1:15" ht="14.25" customHeight="1">
      <c r="A465" s="5" t="str">
        <f t="shared" si="328"/>
        <v>514849</v>
      </c>
      <c r="B465" s="2" t="s">
        <v>754</v>
      </c>
      <c r="C465" s="1">
        <v>2510</v>
      </c>
      <c r="D465" s="1" t="s">
        <v>755</v>
      </c>
      <c r="E465" s="1">
        <v>2</v>
      </c>
      <c r="F465" s="1" t="s">
        <v>142</v>
      </c>
      <c r="G465" s="2" t="s">
        <v>113</v>
      </c>
      <c r="H465" s="1" t="s">
        <v>17</v>
      </c>
      <c r="I465" s="2" t="str">
        <f t="shared" si="325"/>
        <v>22</v>
      </c>
      <c r="J465" s="2" t="str">
        <f t="shared" si="326"/>
        <v>21</v>
      </c>
      <c r="K465" s="1">
        <f t="shared" si="327"/>
        <v>1</v>
      </c>
      <c r="M465" t="s">
        <v>151</v>
      </c>
      <c r="N465" t="s">
        <v>50</v>
      </c>
      <c r="O465" t="s">
        <v>20</v>
      </c>
    </row>
    <row r="466" spans="1:15" ht="14.25" customHeight="1">
      <c r="A466" s="5" t="str">
        <f t="shared" si="328"/>
        <v>514849</v>
      </c>
      <c r="B466" s="2" t="s">
        <v>756</v>
      </c>
      <c r="C466" s="1">
        <v>2510</v>
      </c>
      <c r="D466" s="1" t="s">
        <v>755</v>
      </c>
      <c r="E466" s="1">
        <v>1</v>
      </c>
      <c r="F466" s="1" t="s">
        <v>142</v>
      </c>
      <c r="G466" s="2" t="s">
        <v>113</v>
      </c>
      <c r="H466" s="1" t="s">
        <v>17</v>
      </c>
      <c r="I466" s="2" t="str">
        <f t="shared" si="325"/>
        <v>22</v>
      </c>
      <c r="J466" s="2" t="str">
        <f t="shared" si="326"/>
        <v>21</v>
      </c>
      <c r="K466" s="1">
        <f t="shared" si="327"/>
        <v>1</v>
      </c>
      <c r="M466" t="s">
        <v>151</v>
      </c>
      <c r="N466" t="s">
        <v>50</v>
      </c>
      <c r="O466" t="s">
        <v>20</v>
      </c>
    </row>
    <row r="467" spans="1:15" ht="14.25" customHeight="1">
      <c r="A467" s="5" t="str">
        <f t="shared" si="328"/>
        <v>514849</v>
      </c>
      <c r="B467" s="2" t="s">
        <v>757</v>
      </c>
      <c r="C467" s="1">
        <v>2510</v>
      </c>
      <c r="D467" s="1" t="s">
        <v>755</v>
      </c>
      <c r="E467" s="1">
        <v>2</v>
      </c>
      <c r="F467" s="1" t="s">
        <v>142</v>
      </c>
      <c r="G467" s="2" t="s">
        <v>113</v>
      </c>
      <c r="H467" s="1" t="s">
        <v>17</v>
      </c>
      <c r="I467" s="2" t="str">
        <f t="shared" si="325"/>
        <v>22</v>
      </c>
      <c r="J467" s="2" t="str">
        <f t="shared" si="326"/>
        <v>21</v>
      </c>
      <c r="K467" s="1">
        <f t="shared" si="327"/>
        <v>1</v>
      </c>
      <c r="M467" t="s">
        <v>151</v>
      </c>
      <c r="N467" t="s">
        <v>50</v>
      </c>
      <c r="O467" t="s">
        <v>20</v>
      </c>
    </row>
    <row r="468" spans="1:15" ht="14.25" customHeight="1">
      <c r="A468" s="5" t="str">
        <f t="shared" si="328"/>
        <v>514849</v>
      </c>
      <c r="B468" s="2" t="s">
        <v>758</v>
      </c>
      <c r="C468" s="1">
        <v>2510</v>
      </c>
      <c r="D468" s="1" t="s">
        <v>755</v>
      </c>
      <c r="E468" s="1">
        <v>2</v>
      </c>
      <c r="F468" s="1" t="s">
        <v>142</v>
      </c>
      <c r="G468" s="2" t="s">
        <v>113</v>
      </c>
      <c r="H468" s="1" t="s">
        <v>17</v>
      </c>
      <c r="I468" s="2" t="str">
        <f t="shared" si="325"/>
        <v>22</v>
      </c>
      <c r="J468" s="2" t="str">
        <f t="shared" si="326"/>
        <v>21</v>
      </c>
      <c r="K468" s="1">
        <f t="shared" si="327"/>
        <v>1</v>
      </c>
      <c r="M468" t="s">
        <v>151</v>
      </c>
      <c r="N468" t="s">
        <v>50</v>
      </c>
      <c r="O468" t="s">
        <v>20</v>
      </c>
    </row>
    <row r="469" spans="1:15" ht="14.25" customHeight="1">
      <c r="A469" s="5" t="str">
        <f t="shared" si="328"/>
        <v>514849</v>
      </c>
      <c r="B469" s="2" t="s">
        <v>759</v>
      </c>
      <c r="C469" s="1">
        <v>2510</v>
      </c>
      <c r="D469" s="1" t="s">
        <v>755</v>
      </c>
      <c r="E469" s="1">
        <v>1</v>
      </c>
      <c r="F469" s="1" t="s">
        <v>142</v>
      </c>
      <c r="G469" s="2" t="s">
        <v>113</v>
      </c>
      <c r="H469" s="1" t="s">
        <v>17</v>
      </c>
      <c r="I469" s="2" t="str">
        <f t="shared" si="325"/>
        <v>22</v>
      </c>
      <c r="J469" s="2" t="str">
        <f t="shared" si="326"/>
        <v>21</v>
      </c>
      <c r="K469" s="1">
        <f t="shared" si="327"/>
        <v>1</v>
      </c>
      <c r="M469" t="s">
        <v>151</v>
      </c>
      <c r="N469" t="s">
        <v>50</v>
      </c>
      <c r="O469" t="s">
        <v>20</v>
      </c>
    </row>
    <row r="470" spans="1:15" ht="14.25" customHeight="1">
      <c r="A470" s="5" t="str">
        <f t="shared" si="328"/>
        <v>515380</v>
      </c>
      <c r="B470" s="2" t="s">
        <v>760</v>
      </c>
      <c r="C470" s="1">
        <v>2510</v>
      </c>
      <c r="D470" s="1" t="s">
        <v>761</v>
      </c>
      <c r="E470" s="1">
        <v>4</v>
      </c>
      <c r="F470" s="1" t="s">
        <v>108</v>
      </c>
      <c r="G470" s="2" t="s">
        <v>100</v>
      </c>
      <c r="H470" s="1" t="s">
        <v>17</v>
      </c>
      <c r="I470" s="2" t="str">
        <f t="shared" si="325"/>
        <v>20</v>
      </c>
      <c r="J470" s="2" t="str">
        <f t="shared" si="326"/>
        <v>19</v>
      </c>
      <c r="K470" s="1">
        <f t="shared" si="327"/>
        <v>1</v>
      </c>
      <c r="M470" t="s">
        <v>18</v>
      </c>
      <c r="N470" t="s">
        <v>50</v>
      </c>
      <c r="O470" t="s">
        <v>20</v>
      </c>
    </row>
    <row r="471" spans="1:15" ht="14.25" customHeight="1">
      <c r="A471" s="5" t="str">
        <f t="shared" si="328"/>
        <v>515380</v>
      </c>
      <c r="B471" s="2" t="s">
        <v>762</v>
      </c>
      <c r="C471" s="1">
        <v>2510</v>
      </c>
      <c r="D471" s="1" t="s">
        <v>761</v>
      </c>
      <c r="E471" s="1">
        <v>3</v>
      </c>
      <c r="F471" s="1" t="s">
        <v>108</v>
      </c>
      <c r="G471" s="2" t="s">
        <v>100</v>
      </c>
      <c r="H471" s="1" t="s">
        <v>17</v>
      </c>
      <c r="I471" s="2" t="str">
        <f t="shared" si="325"/>
        <v>20</v>
      </c>
      <c r="J471" s="2" t="str">
        <f t="shared" si="326"/>
        <v>19</v>
      </c>
      <c r="K471" s="1">
        <f t="shared" si="327"/>
        <v>1</v>
      </c>
      <c r="M471" t="s">
        <v>18</v>
      </c>
      <c r="N471" t="s">
        <v>50</v>
      </c>
      <c r="O471" t="s">
        <v>20</v>
      </c>
    </row>
    <row r="472" spans="1:15" ht="14.25" customHeight="1">
      <c r="A472" s="5" t="str">
        <f t="shared" si="328"/>
        <v>515380</v>
      </c>
      <c r="B472" s="2" t="s">
        <v>763</v>
      </c>
      <c r="C472" s="1">
        <v>2510</v>
      </c>
      <c r="D472" s="1" t="s">
        <v>761</v>
      </c>
      <c r="E472" s="1">
        <v>7</v>
      </c>
      <c r="F472" s="1" t="s">
        <v>108</v>
      </c>
      <c r="G472" s="2" t="s">
        <v>100</v>
      </c>
      <c r="H472" s="1" t="s">
        <v>17</v>
      </c>
      <c r="I472" s="2" t="str">
        <f t="shared" si="325"/>
        <v>20</v>
      </c>
      <c r="J472" s="2" t="str">
        <f t="shared" si="326"/>
        <v>19</v>
      </c>
      <c r="K472" s="1">
        <f t="shared" si="327"/>
        <v>1</v>
      </c>
      <c r="M472" t="s">
        <v>18</v>
      </c>
      <c r="N472" t="s">
        <v>50</v>
      </c>
      <c r="O472" t="s">
        <v>20</v>
      </c>
    </row>
    <row r="473" spans="1:15" ht="14.25" customHeight="1">
      <c r="A473" s="5" t="str">
        <f t="shared" si="328"/>
        <v>516084</v>
      </c>
      <c r="B473" s="2" t="s">
        <v>764</v>
      </c>
      <c r="C473" s="1">
        <v>2510</v>
      </c>
      <c r="D473" s="1" t="s">
        <v>765</v>
      </c>
      <c r="E473" s="1">
        <v>1</v>
      </c>
      <c r="F473" s="1" t="s">
        <v>113</v>
      </c>
      <c r="G473" s="2" t="s">
        <v>100</v>
      </c>
      <c r="H473" s="1" t="s">
        <v>17</v>
      </c>
      <c r="I473" s="2" t="str">
        <f t="shared" si="325"/>
        <v>21</v>
      </c>
      <c r="J473" s="2" t="str">
        <f t="shared" si="326"/>
        <v>19</v>
      </c>
      <c r="K473" s="1">
        <f t="shared" si="327"/>
        <v>2</v>
      </c>
      <c r="M473" t="s">
        <v>49</v>
      </c>
      <c r="N473" t="s">
        <v>50</v>
      </c>
      <c r="O473" t="s">
        <v>20</v>
      </c>
    </row>
    <row r="474" spans="1:15" ht="14.25" customHeight="1">
      <c r="A474" s="5" t="str">
        <f t="shared" si="328"/>
        <v>516084</v>
      </c>
      <c r="B474" s="2" t="s">
        <v>766</v>
      </c>
      <c r="C474" s="1">
        <v>2510</v>
      </c>
      <c r="D474" s="1" t="s">
        <v>765</v>
      </c>
      <c r="E474" s="1">
        <v>1</v>
      </c>
      <c r="F474" s="1" t="s">
        <v>113</v>
      </c>
      <c r="G474" s="2" t="s">
        <v>100</v>
      </c>
      <c r="H474" s="1" t="s">
        <v>17</v>
      </c>
      <c r="I474" s="2" t="str">
        <f t="shared" si="325"/>
        <v>21</v>
      </c>
      <c r="J474" s="2" t="str">
        <f t="shared" si="326"/>
        <v>19</v>
      </c>
      <c r="K474" s="1">
        <f t="shared" si="327"/>
        <v>2</v>
      </c>
      <c r="M474" t="s">
        <v>49</v>
      </c>
      <c r="N474" t="s">
        <v>50</v>
      </c>
      <c r="O474" t="s">
        <v>20</v>
      </c>
    </row>
    <row r="475" spans="1:15" ht="14.25" customHeight="1">
      <c r="A475" s="5" t="str">
        <f t="shared" si="328"/>
        <v>516189</v>
      </c>
      <c r="B475" s="2" t="s">
        <v>767</v>
      </c>
      <c r="C475" s="1">
        <v>2510</v>
      </c>
      <c r="D475" s="1" t="s">
        <v>768</v>
      </c>
      <c r="E475" s="1">
        <v>1</v>
      </c>
      <c r="F475" s="1" t="s">
        <v>137</v>
      </c>
      <c r="G475" s="2" t="s">
        <v>113</v>
      </c>
      <c r="H475" s="1" t="s">
        <v>17</v>
      </c>
      <c r="I475" s="2" t="str">
        <f t="shared" si="325"/>
        <v>23</v>
      </c>
      <c r="J475" s="2" t="str">
        <f t="shared" si="326"/>
        <v>21</v>
      </c>
      <c r="K475" s="1">
        <f t="shared" si="327"/>
        <v>2</v>
      </c>
      <c r="M475" t="s">
        <v>49</v>
      </c>
      <c r="N475" t="s">
        <v>50</v>
      </c>
      <c r="O475" t="s">
        <v>20</v>
      </c>
    </row>
    <row r="476" spans="1:15" ht="14.25" customHeight="1">
      <c r="A476" s="5" t="str">
        <f t="shared" si="328"/>
        <v>516189</v>
      </c>
      <c r="B476" s="2" t="s">
        <v>769</v>
      </c>
      <c r="C476" s="1">
        <v>2510</v>
      </c>
      <c r="D476" s="1" t="s">
        <v>768</v>
      </c>
      <c r="E476" s="1">
        <v>4</v>
      </c>
      <c r="F476" s="1" t="s">
        <v>137</v>
      </c>
      <c r="G476" s="2" t="s">
        <v>113</v>
      </c>
      <c r="H476" s="1" t="s">
        <v>17</v>
      </c>
      <c r="I476" s="2" t="str">
        <f t="shared" si="325"/>
        <v>23</v>
      </c>
      <c r="J476" s="2" t="str">
        <f t="shared" si="326"/>
        <v>21</v>
      </c>
      <c r="K476" s="1">
        <f t="shared" si="327"/>
        <v>2</v>
      </c>
      <c r="M476" t="s">
        <v>49</v>
      </c>
      <c r="N476" t="s">
        <v>50</v>
      </c>
      <c r="O476" t="s">
        <v>20</v>
      </c>
    </row>
    <row r="477" spans="1:15">
      <c r="A477" s="5" t="str">
        <f t="shared" si="328"/>
        <v>514239</v>
      </c>
      <c r="B477" s="2" t="s">
        <v>770</v>
      </c>
      <c r="C477" s="1">
        <v>2510</v>
      </c>
      <c r="D477" s="1" t="s">
        <v>771</v>
      </c>
      <c r="E477" s="1">
        <v>5</v>
      </c>
      <c r="F477" s="1" t="s">
        <v>113</v>
      </c>
      <c r="G477" s="2" t="s">
        <v>108</v>
      </c>
      <c r="H477" s="1" t="s">
        <v>772</v>
      </c>
      <c r="I477" s="2" t="str">
        <f t="shared" si="325"/>
        <v>21</v>
      </c>
      <c r="J477" s="2" t="str">
        <f t="shared" si="326"/>
        <v>20</v>
      </c>
      <c r="K477" s="1">
        <f t="shared" si="327"/>
        <v>1</v>
      </c>
      <c r="M477" t="s">
        <v>245</v>
      </c>
      <c r="N477" t="s">
        <v>50</v>
      </c>
      <c r="O477" t="s">
        <v>773</v>
      </c>
    </row>
    <row r="478" spans="1:15">
      <c r="A478" s="5" t="str">
        <f t="shared" si="328"/>
        <v>516086</v>
      </c>
      <c r="B478" s="2" t="s">
        <v>774</v>
      </c>
      <c r="C478" s="1">
        <v>2510</v>
      </c>
      <c r="D478" s="1" t="s">
        <v>775</v>
      </c>
      <c r="E478" s="1">
        <v>2</v>
      </c>
      <c r="F478" s="1" t="s">
        <v>113</v>
      </c>
      <c r="G478" s="2" t="s">
        <v>113</v>
      </c>
      <c r="H478" s="1" t="s">
        <v>772</v>
      </c>
      <c r="I478" s="2" t="str">
        <f t="shared" si="325"/>
        <v>21</v>
      </c>
      <c r="J478" s="2" t="str">
        <f t="shared" si="326"/>
        <v>21</v>
      </c>
      <c r="K478" s="1">
        <f t="shared" si="327"/>
        <v>0</v>
      </c>
      <c r="M478" t="e">
        <v>#N/A</v>
      </c>
      <c r="N478" t="e">
        <v>#N/A</v>
      </c>
      <c r="O478" t="e">
        <v>#N/A</v>
      </c>
    </row>
    <row r="479" spans="1:15">
      <c r="A479" s="5" t="str">
        <f t="shared" si="328"/>
        <v>516086</v>
      </c>
      <c r="B479" s="2" t="s">
        <v>776</v>
      </c>
      <c r="C479" s="1">
        <v>2510</v>
      </c>
      <c r="D479" s="1" t="s">
        <v>775</v>
      </c>
      <c r="E479" s="1">
        <v>4</v>
      </c>
      <c r="F479" s="1" t="s">
        <v>137</v>
      </c>
      <c r="G479" s="2" t="s">
        <v>137</v>
      </c>
      <c r="H479" s="1" t="s">
        <v>772</v>
      </c>
      <c r="I479" s="2" t="str">
        <f t="shared" si="325"/>
        <v>23</v>
      </c>
      <c r="J479" s="2" t="str">
        <f t="shared" si="326"/>
        <v>23</v>
      </c>
      <c r="K479" s="1">
        <f t="shared" si="327"/>
        <v>0</v>
      </c>
      <c r="M479" t="s">
        <v>245</v>
      </c>
      <c r="N479" t="s">
        <v>50</v>
      </c>
      <c r="O479" t="s">
        <v>773</v>
      </c>
    </row>
    <row r="480" spans="1:15">
      <c r="A480" s="5" t="str">
        <f t="shared" si="328"/>
        <v>522191</v>
      </c>
      <c r="B480" s="2" t="s">
        <v>777</v>
      </c>
      <c r="C480" s="1">
        <v>2601</v>
      </c>
      <c r="D480" s="1" t="s">
        <v>778</v>
      </c>
      <c r="E480" s="1">
        <v>6</v>
      </c>
      <c r="F480" s="1" t="s">
        <v>193</v>
      </c>
      <c r="G480" s="2" t="s">
        <v>204</v>
      </c>
      <c r="H480" s="1" t="s">
        <v>772</v>
      </c>
      <c r="I480" s="2" t="str">
        <f t="shared" si="325"/>
        <v>26</v>
      </c>
      <c r="J480" s="2" t="str">
        <f t="shared" si="326"/>
        <v>25</v>
      </c>
      <c r="K480" s="1">
        <f t="shared" si="327"/>
        <v>1</v>
      </c>
      <c r="M480" t="s">
        <v>245</v>
      </c>
      <c r="N480" t="s">
        <v>50</v>
      </c>
      <c r="O480" t="s">
        <v>773</v>
      </c>
    </row>
    <row r="481" spans="1:25">
      <c r="A481" s="5" t="str">
        <f t="shared" si="328"/>
        <v xml:space="preserve"> 51685</v>
      </c>
      <c r="B481" s="2" t="s">
        <v>779</v>
      </c>
      <c r="C481" s="1">
        <v>2510</v>
      </c>
      <c r="D481" s="1" t="s">
        <v>780</v>
      </c>
      <c r="E481" s="1">
        <v>6</v>
      </c>
      <c r="F481" s="1" t="s">
        <v>108</v>
      </c>
      <c r="G481" s="2" t="s">
        <v>100</v>
      </c>
      <c r="H481" s="1" t="s">
        <v>772</v>
      </c>
      <c r="I481" s="2" t="str">
        <f t="shared" si="325"/>
        <v>20</v>
      </c>
      <c r="J481" s="2" t="str">
        <f t="shared" si="326"/>
        <v>19</v>
      </c>
      <c r="K481" s="1">
        <f t="shared" si="327"/>
        <v>1</v>
      </c>
      <c r="M481" t="e">
        <v>#N/A</v>
      </c>
      <c r="N481" t="e">
        <v>#N/A</v>
      </c>
      <c r="O481" t="e">
        <v>#N/A</v>
      </c>
    </row>
    <row r="482" spans="1:25">
      <c r="A482" s="5" t="str">
        <f t="shared" si="328"/>
        <v>516856</v>
      </c>
      <c r="B482" s="2" t="s">
        <v>781</v>
      </c>
      <c r="C482" s="1">
        <v>2510</v>
      </c>
      <c r="D482" s="1" t="s">
        <v>780</v>
      </c>
      <c r="E482" s="1">
        <v>1</v>
      </c>
      <c r="F482" s="1" t="s">
        <v>64</v>
      </c>
      <c r="G482" s="2" t="s">
        <v>64</v>
      </c>
      <c r="H482" s="1" t="s">
        <v>772</v>
      </c>
      <c r="I482" s="2" t="str">
        <f t="shared" si="325"/>
        <v>17</v>
      </c>
      <c r="J482" s="2" t="str">
        <f t="shared" si="326"/>
        <v>17</v>
      </c>
      <c r="K482" s="1">
        <f t="shared" si="327"/>
        <v>0</v>
      </c>
      <c r="M482" t="e">
        <v>#N/A</v>
      </c>
      <c r="N482" t="e">
        <v>#N/A</v>
      </c>
      <c r="O482" t="e">
        <v>#N/A</v>
      </c>
    </row>
    <row r="483" spans="1:25">
      <c r="A483" s="5" t="str">
        <f t="shared" si="328"/>
        <v>516189</v>
      </c>
      <c r="B483" s="2" t="s">
        <v>769</v>
      </c>
      <c r="C483" s="5">
        <v>2510</v>
      </c>
      <c r="D483" s="1" t="s">
        <v>768</v>
      </c>
      <c r="E483" s="5">
        <v>4</v>
      </c>
      <c r="F483" s="1" t="s">
        <v>137</v>
      </c>
      <c r="G483" s="1" t="s">
        <v>113</v>
      </c>
      <c r="H483" s="1" t="s">
        <v>17</v>
      </c>
      <c r="I483" s="2" t="str">
        <f t="shared" si="325"/>
        <v>23</v>
      </c>
      <c r="J483" s="2" t="str">
        <f t="shared" si="326"/>
        <v>21</v>
      </c>
      <c r="K483" s="1">
        <f t="shared" si="327"/>
        <v>2</v>
      </c>
      <c r="L483" s="1"/>
      <c r="M483" t="s">
        <v>49</v>
      </c>
      <c r="N483" t="s">
        <v>50</v>
      </c>
      <c r="O483" t="s">
        <v>20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5" t="str">
        <f t="shared" si="328"/>
        <v>516189</v>
      </c>
      <c r="B484" s="2" t="s">
        <v>767</v>
      </c>
      <c r="C484" s="5">
        <v>2510</v>
      </c>
      <c r="D484" s="1" t="s">
        <v>768</v>
      </c>
      <c r="E484" s="5">
        <v>1</v>
      </c>
      <c r="F484" s="1" t="s">
        <v>137</v>
      </c>
      <c r="G484" s="1" t="s">
        <v>113</v>
      </c>
      <c r="H484" s="1" t="s">
        <v>17</v>
      </c>
      <c r="I484" s="2" t="str">
        <f t="shared" si="325"/>
        <v>23</v>
      </c>
      <c r="J484" s="2" t="str">
        <f t="shared" si="326"/>
        <v>21</v>
      </c>
      <c r="K484" s="1">
        <f t="shared" si="327"/>
        <v>2</v>
      </c>
      <c r="L484" s="1"/>
      <c r="M484" t="s">
        <v>49</v>
      </c>
      <c r="N484" t="s">
        <v>50</v>
      </c>
      <c r="O484" t="s">
        <v>20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5" t="str">
        <f t="shared" si="328"/>
        <v>516199</v>
      </c>
      <c r="B485" s="2" t="s">
        <v>782</v>
      </c>
      <c r="C485" s="5">
        <v>2510</v>
      </c>
      <c r="D485" s="1" t="s">
        <v>783</v>
      </c>
      <c r="E485" s="8">
        <v>4</v>
      </c>
      <c r="F485" s="1" t="s">
        <v>137</v>
      </c>
      <c r="G485" s="1" t="s">
        <v>113</v>
      </c>
      <c r="H485" s="1" t="s">
        <v>17</v>
      </c>
      <c r="I485" s="2" t="str">
        <f t="shared" si="325"/>
        <v>23</v>
      </c>
      <c r="J485" s="2" t="str">
        <f t="shared" si="326"/>
        <v>21</v>
      </c>
      <c r="K485" s="1">
        <f t="shared" si="327"/>
        <v>2</v>
      </c>
      <c r="L485" s="1"/>
      <c r="M485" t="s">
        <v>49</v>
      </c>
      <c r="N485" t="s">
        <v>50</v>
      </c>
      <c r="O485" t="s">
        <v>20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5" t="str">
        <f t="shared" si="328"/>
        <v>516199</v>
      </c>
      <c r="B486" s="2" t="s">
        <v>784</v>
      </c>
      <c r="C486" s="5">
        <v>2510</v>
      </c>
      <c r="D486" s="1" t="s">
        <v>783</v>
      </c>
      <c r="E486" s="8">
        <v>2</v>
      </c>
      <c r="F486" s="1" t="s">
        <v>137</v>
      </c>
      <c r="G486" s="1" t="s">
        <v>113</v>
      </c>
      <c r="H486" s="1" t="s">
        <v>17</v>
      </c>
      <c r="I486" s="2" t="str">
        <f t="shared" si="325"/>
        <v>23</v>
      </c>
      <c r="J486" s="2" t="str">
        <f t="shared" si="326"/>
        <v>21</v>
      </c>
      <c r="K486" s="1">
        <f t="shared" si="327"/>
        <v>2</v>
      </c>
      <c r="L486" s="1"/>
      <c r="M486" t="s">
        <v>49</v>
      </c>
      <c r="N486" t="s">
        <v>50</v>
      </c>
      <c r="O486" t="s">
        <v>20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5" t="str">
        <f t="shared" si="328"/>
        <v>516199</v>
      </c>
      <c r="B487" s="2" t="s">
        <v>785</v>
      </c>
      <c r="C487" s="5">
        <v>2510</v>
      </c>
      <c r="D487" s="1" t="s">
        <v>783</v>
      </c>
      <c r="E487" s="8">
        <v>2</v>
      </c>
      <c r="F487" s="1" t="s">
        <v>137</v>
      </c>
      <c r="G487" s="1" t="s">
        <v>113</v>
      </c>
      <c r="H487" s="1" t="s">
        <v>17</v>
      </c>
      <c r="I487" s="2" t="str">
        <f t="shared" si="325"/>
        <v>23</v>
      </c>
      <c r="J487" s="2" t="str">
        <f t="shared" si="326"/>
        <v>21</v>
      </c>
      <c r="K487" s="1">
        <f t="shared" si="327"/>
        <v>2</v>
      </c>
      <c r="L487" s="1"/>
      <c r="M487" t="s">
        <v>49</v>
      </c>
      <c r="N487" t="s">
        <v>50</v>
      </c>
      <c r="O487" t="s">
        <v>20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5" t="str">
        <f t="shared" si="328"/>
        <v>516199</v>
      </c>
      <c r="B488" s="2" t="s">
        <v>786</v>
      </c>
      <c r="C488" s="5">
        <v>2510</v>
      </c>
      <c r="D488" s="1" t="s">
        <v>783</v>
      </c>
      <c r="E488" s="8">
        <v>2</v>
      </c>
      <c r="F488" s="1" t="s">
        <v>137</v>
      </c>
      <c r="G488" s="1" t="s">
        <v>113</v>
      </c>
      <c r="H488" s="1" t="s">
        <v>17</v>
      </c>
      <c r="I488" s="2" t="str">
        <f t="shared" si="325"/>
        <v>23</v>
      </c>
      <c r="J488" s="2" t="str">
        <f t="shared" si="326"/>
        <v>21</v>
      </c>
      <c r="K488" s="1">
        <f t="shared" si="327"/>
        <v>2</v>
      </c>
      <c r="L488" s="1"/>
      <c r="M488" t="s">
        <v>49</v>
      </c>
      <c r="N488" t="s">
        <v>50</v>
      </c>
      <c r="O488" t="s">
        <v>20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5" t="str">
        <f t="shared" si="328"/>
        <v>516202</v>
      </c>
      <c r="B489" s="2" t="s">
        <v>787</v>
      </c>
      <c r="C489" s="5">
        <v>2510</v>
      </c>
      <c r="D489" s="1" t="s">
        <v>735</v>
      </c>
      <c r="E489" s="8">
        <v>1</v>
      </c>
      <c r="F489" s="1" t="s">
        <v>137</v>
      </c>
      <c r="G489" s="1" t="s">
        <v>142</v>
      </c>
      <c r="H489" s="1" t="s">
        <v>17</v>
      </c>
      <c r="I489" s="2" t="str">
        <f t="shared" si="325"/>
        <v>23</v>
      </c>
      <c r="J489" s="2" t="str">
        <f t="shared" si="326"/>
        <v>22</v>
      </c>
      <c r="K489" s="1">
        <f t="shared" si="327"/>
        <v>1</v>
      </c>
      <c r="L489" s="1"/>
      <c r="M489" t="s">
        <v>736</v>
      </c>
      <c r="N489" t="s">
        <v>50</v>
      </c>
      <c r="O489" t="s">
        <v>20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5" t="str">
        <f t="shared" si="328"/>
        <v>516202</v>
      </c>
      <c r="B490" s="2" t="s">
        <v>788</v>
      </c>
      <c r="C490" s="5">
        <v>2510</v>
      </c>
      <c r="D490" s="1" t="s">
        <v>735</v>
      </c>
      <c r="E490" s="8">
        <v>2</v>
      </c>
      <c r="F490" s="1" t="s">
        <v>137</v>
      </c>
      <c r="G490" s="1" t="s">
        <v>142</v>
      </c>
      <c r="H490" s="1" t="s">
        <v>17</v>
      </c>
      <c r="I490" s="2" t="str">
        <f t="shared" si="325"/>
        <v>23</v>
      </c>
      <c r="J490" s="2" t="str">
        <f t="shared" si="326"/>
        <v>22</v>
      </c>
      <c r="K490" s="1">
        <f t="shared" si="327"/>
        <v>1</v>
      </c>
      <c r="L490" s="1"/>
      <c r="M490" t="s">
        <v>736</v>
      </c>
      <c r="N490" t="s">
        <v>50</v>
      </c>
      <c r="O490" t="s">
        <v>20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5" t="str">
        <f t="shared" si="328"/>
        <v>516218</v>
      </c>
      <c r="B491" s="2" t="s">
        <v>789</v>
      </c>
      <c r="C491" s="5">
        <v>2510</v>
      </c>
      <c r="D491" s="1" t="s">
        <v>790</v>
      </c>
      <c r="E491" s="8">
        <v>1</v>
      </c>
      <c r="F491" s="1" t="s">
        <v>137</v>
      </c>
      <c r="G491" s="1" t="s">
        <v>142</v>
      </c>
      <c r="H491" s="1" t="s">
        <v>17</v>
      </c>
      <c r="I491" s="2" t="str">
        <f t="shared" si="325"/>
        <v>23</v>
      </c>
      <c r="J491" s="2" t="str">
        <f t="shared" si="326"/>
        <v>22</v>
      </c>
      <c r="K491" s="1">
        <f t="shared" si="327"/>
        <v>1</v>
      </c>
      <c r="L491" s="1"/>
      <c r="M491" t="s">
        <v>732</v>
      </c>
      <c r="N491" t="s">
        <v>50</v>
      </c>
      <c r="O491" t="s">
        <v>20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5" t="str">
        <f t="shared" si="328"/>
        <v>516218</v>
      </c>
      <c r="B492" s="2" t="s">
        <v>791</v>
      </c>
      <c r="C492" s="5">
        <v>2510</v>
      </c>
      <c r="D492" s="1" t="s">
        <v>790</v>
      </c>
      <c r="E492" s="8">
        <v>1</v>
      </c>
      <c r="F492" s="1" t="s">
        <v>137</v>
      </c>
      <c r="G492" s="1" t="s">
        <v>142</v>
      </c>
      <c r="H492" s="1" t="s">
        <v>17</v>
      </c>
      <c r="I492" s="2" t="str">
        <f t="shared" si="325"/>
        <v>23</v>
      </c>
      <c r="J492" s="2" t="str">
        <f t="shared" si="326"/>
        <v>22</v>
      </c>
      <c r="K492" s="1">
        <f t="shared" si="327"/>
        <v>1</v>
      </c>
      <c r="L492" s="1"/>
      <c r="M492" t="s">
        <v>732</v>
      </c>
      <c r="N492" t="s">
        <v>50</v>
      </c>
      <c r="O492" t="s">
        <v>20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5" t="str">
        <f t="shared" si="328"/>
        <v>518716</v>
      </c>
      <c r="B493" s="2" t="s">
        <v>792</v>
      </c>
      <c r="C493" s="5">
        <v>2510</v>
      </c>
      <c r="D493" s="1" t="s">
        <v>793</v>
      </c>
      <c r="E493" s="8">
        <v>2</v>
      </c>
      <c r="F493" s="1" t="s">
        <v>113</v>
      </c>
      <c r="G493" s="1" t="s">
        <v>81</v>
      </c>
      <c r="H493" s="1" t="s">
        <v>17</v>
      </c>
      <c r="I493" s="2" t="str">
        <f t="shared" si="325"/>
        <v>21</v>
      </c>
      <c r="J493" s="2" t="str">
        <f t="shared" si="326"/>
        <v>18</v>
      </c>
      <c r="K493" s="1">
        <f t="shared" si="327"/>
        <v>3</v>
      </c>
      <c r="L493" s="1"/>
      <c r="M493" t="s">
        <v>27</v>
      </c>
      <c r="N493" t="s">
        <v>19</v>
      </c>
      <c r="O493" t="s">
        <v>20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5" t="str">
        <f t="shared" si="328"/>
        <v>518716</v>
      </c>
      <c r="B494" s="2" t="s">
        <v>794</v>
      </c>
      <c r="C494" s="5">
        <v>2510</v>
      </c>
      <c r="D494" s="1" t="s">
        <v>793</v>
      </c>
      <c r="E494" s="8">
        <v>2</v>
      </c>
      <c r="F494" s="1" t="s">
        <v>113</v>
      </c>
      <c r="G494" s="1" t="s">
        <v>81</v>
      </c>
      <c r="H494" s="1" t="s">
        <v>17</v>
      </c>
      <c r="I494" s="2" t="str">
        <f t="shared" si="325"/>
        <v>21</v>
      </c>
      <c r="J494" s="2" t="str">
        <f t="shared" si="326"/>
        <v>18</v>
      </c>
      <c r="K494" s="1">
        <f t="shared" si="327"/>
        <v>3</v>
      </c>
      <c r="L494" s="1"/>
      <c r="M494" t="s">
        <v>27</v>
      </c>
      <c r="N494" t="s">
        <v>19</v>
      </c>
      <c r="O494" t="s">
        <v>20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5" t="str">
        <f t="shared" si="328"/>
        <v>515138</v>
      </c>
      <c r="B495" s="2" t="s">
        <v>795</v>
      </c>
      <c r="C495" s="5">
        <v>2510</v>
      </c>
      <c r="D495" s="1" t="s">
        <v>796</v>
      </c>
      <c r="E495" s="8">
        <v>0.11</v>
      </c>
      <c r="F495" s="1" t="s">
        <v>137</v>
      </c>
      <c r="G495" s="1" t="s">
        <v>142</v>
      </c>
      <c r="H495" s="1" t="s">
        <v>17</v>
      </c>
      <c r="I495" s="2" t="str">
        <f t="shared" si="325"/>
        <v>23</v>
      </c>
      <c r="J495" s="2" t="str">
        <f t="shared" si="326"/>
        <v>22</v>
      </c>
      <c r="K495" s="1">
        <f t="shared" si="327"/>
        <v>1</v>
      </c>
      <c r="L495" s="1"/>
      <c r="M495" t="s">
        <v>91</v>
      </c>
      <c r="N495" t="s">
        <v>19</v>
      </c>
      <c r="O495" t="s">
        <v>20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5" t="str">
        <f t="shared" si="328"/>
        <v>515139</v>
      </c>
      <c r="B496" s="2" t="s">
        <v>797</v>
      </c>
      <c r="C496" s="5">
        <v>2510</v>
      </c>
      <c r="D496" s="1" t="s">
        <v>798</v>
      </c>
      <c r="E496" s="8">
        <v>0.02</v>
      </c>
      <c r="F496" s="1" t="s">
        <v>137</v>
      </c>
      <c r="G496" s="1" t="s">
        <v>142</v>
      </c>
      <c r="H496" s="1" t="s">
        <v>17</v>
      </c>
      <c r="I496" s="2" t="str">
        <f t="shared" si="325"/>
        <v>23</v>
      </c>
      <c r="J496" s="2" t="str">
        <f t="shared" si="326"/>
        <v>22</v>
      </c>
      <c r="K496" s="1">
        <f t="shared" si="327"/>
        <v>1</v>
      </c>
      <c r="L496" s="1"/>
      <c r="M496" t="s">
        <v>91</v>
      </c>
      <c r="N496" t="s">
        <v>19</v>
      </c>
      <c r="O496" t="s">
        <v>20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5" t="str">
        <f t="shared" si="328"/>
        <v>515140</v>
      </c>
      <c r="B497" s="2" t="s">
        <v>799</v>
      </c>
      <c r="C497" s="5">
        <v>2510</v>
      </c>
      <c r="D497" s="1" t="s">
        <v>800</v>
      </c>
      <c r="E497" s="8">
        <v>0.06</v>
      </c>
      <c r="F497" s="1" t="s">
        <v>137</v>
      </c>
      <c r="G497" s="1" t="s">
        <v>142</v>
      </c>
      <c r="H497" s="1" t="s">
        <v>17</v>
      </c>
      <c r="I497" s="2" t="str">
        <f t="shared" si="325"/>
        <v>23</v>
      </c>
      <c r="J497" s="2" t="str">
        <f t="shared" si="326"/>
        <v>22</v>
      </c>
      <c r="K497" s="1">
        <f t="shared" si="327"/>
        <v>1</v>
      </c>
      <c r="L497" s="1"/>
      <c r="M497" t="s">
        <v>91</v>
      </c>
      <c r="N497" t="s">
        <v>19</v>
      </c>
      <c r="O497" t="s">
        <v>20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5" t="str">
        <f t="shared" si="328"/>
        <v>515141</v>
      </c>
      <c r="B498" s="2" t="s">
        <v>801</v>
      </c>
      <c r="C498" s="5">
        <v>2510</v>
      </c>
      <c r="D498" s="1" t="s">
        <v>802</v>
      </c>
      <c r="E498" s="8">
        <v>0.06</v>
      </c>
      <c r="F498" s="1" t="s">
        <v>137</v>
      </c>
      <c r="G498" s="1" t="s">
        <v>142</v>
      </c>
      <c r="H498" s="1" t="s">
        <v>17</v>
      </c>
      <c r="I498" s="2" t="str">
        <f t="shared" si="325"/>
        <v>23</v>
      </c>
      <c r="J498" s="2" t="str">
        <f t="shared" si="326"/>
        <v>22</v>
      </c>
      <c r="K498" s="1">
        <f t="shared" si="327"/>
        <v>1</v>
      </c>
      <c r="L498" s="1"/>
      <c r="M498" t="s">
        <v>91</v>
      </c>
      <c r="N498" t="s">
        <v>19</v>
      </c>
      <c r="O498" t="s">
        <v>20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5" t="str">
        <f t="shared" si="328"/>
        <v>515142</v>
      </c>
      <c r="B499" s="2" t="s">
        <v>803</v>
      </c>
      <c r="C499" s="5">
        <v>2510</v>
      </c>
      <c r="D499" s="1" t="s">
        <v>804</v>
      </c>
      <c r="E499" s="8">
        <v>0.3</v>
      </c>
      <c r="F499" s="1" t="s">
        <v>137</v>
      </c>
      <c r="G499" s="1" t="s">
        <v>142</v>
      </c>
      <c r="H499" s="1" t="s">
        <v>17</v>
      </c>
      <c r="I499" s="2" t="str">
        <f t="shared" si="325"/>
        <v>23</v>
      </c>
      <c r="J499" s="2" t="str">
        <f t="shared" si="326"/>
        <v>22</v>
      </c>
      <c r="K499" s="1">
        <f t="shared" si="327"/>
        <v>1</v>
      </c>
      <c r="L499" s="1"/>
      <c r="M499" t="s">
        <v>91</v>
      </c>
      <c r="N499" t="s">
        <v>19</v>
      </c>
      <c r="O499" t="s">
        <v>20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5" t="str">
        <f t="shared" si="328"/>
        <v>515142</v>
      </c>
      <c r="B500" s="2" t="s">
        <v>805</v>
      </c>
      <c r="C500" s="5">
        <v>2510</v>
      </c>
      <c r="D500" s="1" t="s">
        <v>804</v>
      </c>
      <c r="E500" s="8">
        <v>0.3</v>
      </c>
      <c r="F500" s="1" t="s">
        <v>137</v>
      </c>
      <c r="G500" s="1" t="s">
        <v>142</v>
      </c>
      <c r="H500" s="1" t="s">
        <v>17</v>
      </c>
      <c r="I500" s="2" t="str">
        <f t="shared" si="325"/>
        <v>23</v>
      </c>
      <c r="J500" s="2" t="str">
        <f t="shared" si="326"/>
        <v>22</v>
      </c>
      <c r="K500" s="1">
        <f t="shared" si="327"/>
        <v>1</v>
      </c>
      <c r="L500" s="1"/>
      <c r="M500" t="s">
        <v>91</v>
      </c>
      <c r="N500" t="s">
        <v>19</v>
      </c>
      <c r="O500" t="s">
        <v>20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5" t="str">
        <f t="shared" si="328"/>
        <v>515143</v>
      </c>
      <c r="B501" s="2" t="s">
        <v>806</v>
      </c>
      <c r="C501" s="5">
        <v>2510</v>
      </c>
      <c r="D501" s="1" t="s">
        <v>807</v>
      </c>
      <c r="E501" s="8">
        <v>0.05</v>
      </c>
      <c r="F501" s="1" t="s">
        <v>137</v>
      </c>
      <c r="G501" s="1" t="s">
        <v>142</v>
      </c>
      <c r="H501" s="1" t="s">
        <v>17</v>
      </c>
      <c r="I501" s="2" t="str">
        <f t="shared" si="325"/>
        <v>23</v>
      </c>
      <c r="J501" s="2" t="str">
        <f t="shared" si="326"/>
        <v>22</v>
      </c>
      <c r="K501" s="1">
        <f t="shared" si="327"/>
        <v>1</v>
      </c>
      <c r="L501" s="1"/>
      <c r="M501" t="s">
        <v>91</v>
      </c>
      <c r="N501" t="s">
        <v>19</v>
      </c>
      <c r="O501" t="s">
        <v>20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customHeight="1">
      <c r="A502" s="5" t="str">
        <f t="shared" si="328"/>
        <v>514440</v>
      </c>
      <c r="B502" s="2" t="s">
        <v>808</v>
      </c>
      <c r="C502" s="5">
        <v>2510</v>
      </c>
      <c r="D502" s="1" t="s">
        <v>809</v>
      </c>
      <c r="E502" s="1">
        <v>2</v>
      </c>
      <c r="F502" s="1" t="s">
        <v>193</v>
      </c>
      <c r="G502" s="1" t="s">
        <v>137</v>
      </c>
      <c r="H502" s="1" t="s">
        <v>17</v>
      </c>
      <c r="I502" s="2" t="str">
        <f t="shared" si="325"/>
        <v>26</v>
      </c>
      <c r="J502" s="2" t="str">
        <f t="shared" si="326"/>
        <v>23</v>
      </c>
      <c r="K502" s="1">
        <f t="shared" si="327"/>
        <v>3</v>
      </c>
      <c r="M502" t="s">
        <v>24</v>
      </c>
      <c r="N502" t="s">
        <v>19</v>
      </c>
      <c r="O502" t="s">
        <v>20</v>
      </c>
    </row>
    <row r="503" spans="1:25" ht="15" customHeight="1">
      <c r="A503" s="5" t="str">
        <f t="shared" si="328"/>
        <v>514440</v>
      </c>
      <c r="B503" s="2" t="s">
        <v>810</v>
      </c>
      <c r="C503" s="5">
        <v>2510</v>
      </c>
      <c r="D503" s="1" t="s">
        <v>809</v>
      </c>
      <c r="E503" s="1">
        <v>4</v>
      </c>
      <c r="F503" s="1" t="s">
        <v>150</v>
      </c>
      <c r="G503" s="1" t="s">
        <v>137</v>
      </c>
      <c r="H503" s="1" t="s">
        <v>17</v>
      </c>
      <c r="I503" s="2" t="str">
        <f t="shared" si="325"/>
        <v>24</v>
      </c>
      <c r="J503" s="2" t="str">
        <f t="shared" si="326"/>
        <v>23</v>
      </c>
      <c r="K503" s="1">
        <f t="shared" si="327"/>
        <v>1</v>
      </c>
      <c r="M503" t="s">
        <v>24</v>
      </c>
      <c r="N503" t="s">
        <v>19</v>
      </c>
      <c r="O503" t="s">
        <v>20</v>
      </c>
    </row>
    <row r="504" spans="1:25" ht="15" customHeight="1">
      <c r="A504" s="5" t="str">
        <f t="shared" si="328"/>
        <v>514440</v>
      </c>
      <c r="B504" s="2" t="s">
        <v>811</v>
      </c>
      <c r="C504" s="5">
        <v>2510</v>
      </c>
      <c r="D504" s="1" t="s">
        <v>809</v>
      </c>
      <c r="E504" s="1">
        <v>2</v>
      </c>
      <c r="F504" s="1" t="s">
        <v>150</v>
      </c>
      <c r="G504" s="1" t="s">
        <v>137</v>
      </c>
      <c r="H504" s="1" t="s">
        <v>17</v>
      </c>
      <c r="I504" s="2" t="str">
        <f t="shared" ref="I504:I567" si="329">LEFT(F504,2)</f>
        <v>24</v>
      </c>
      <c r="J504" s="2" t="str">
        <f t="shared" ref="J504:J567" si="330">LEFT(G504,2)</f>
        <v>23</v>
      </c>
      <c r="K504" s="1">
        <f t="shared" ref="K504:K567" si="331">I504-J504</f>
        <v>1</v>
      </c>
      <c r="M504" t="s">
        <v>24</v>
      </c>
      <c r="N504" t="s">
        <v>19</v>
      </c>
      <c r="O504" t="s">
        <v>20</v>
      </c>
    </row>
    <row r="505" spans="1:25" ht="15" customHeight="1">
      <c r="A505" s="5" t="str">
        <f t="shared" si="328"/>
        <v>514444</v>
      </c>
      <c r="B505" s="2" t="s">
        <v>812</v>
      </c>
      <c r="C505" s="1">
        <v>2510</v>
      </c>
      <c r="D505" s="1" t="s">
        <v>813</v>
      </c>
      <c r="E505" s="1">
        <v>2</v>
      </c>
      <c r="F505" s="1" t="s">
        <v>193</v>
      </c>
      <c r="G505" s="1" t="s">
        <v>137</v>
      </c>
      <c r="H505" s="1" t="s">
        <v>17</v>
      </c>
      <c r="I505" s="2" t="str">
        <f t="shared" si="329"/>
        <v>26</v>
      </c>
      <c r="J505" s="2" t="str">
        <f t="shared" si="330"/>
        <v>23</v>
      </c>
      <c r="K505" s="1">
        <f t="shared" si="331"/>
        <v>3</v>
      </c>
      <c r="M505" t="s">
        <v>24</v>
      </c>
      <c r="N505" t="s">
        <v>19</v>
      </c>
      <c r="O505" t="s">
        <v>20</v>
      </c>
    </row>
    <row r="506" spans="1:25" ht="15" customHeight="1">
      <c r="A506" s="5" t="str">
        <f t="shared" si="328"/>
        <v>514444</v>
      </c>
      <c r="B506" s="2" t="s">
        <v>814</v>
      </c>
      <c r="C506" s="1">
        <v>2510</v>
      </c>
      <c r="D506" s="1" t="s">
        <v>813</v>
      </c>
      <c r="E506" s="1">
        <v>4</v>
      </c>
      <c r="F506" s="1" t="s">
        <v>204</v>
      </c>
      <c r="G506" s="1" t="s">
        <v>137</v>
      </c>
      <c r="H506" s="1" t="s">
        <v>17</v>
      </c>
      <c r="I506" s="2" t="str">
        <f t="shared" si="329"/>
        <v>25</v>
      </c>
      <c r="J506" s="2" t="str">
        <f t="shared" si="330"/>
        <v>23</v>
      </c>
      <c r="K506" s="1">
        <f t="shared" si="331"/>
        <v>2</v>
      </c>
      <c r="M506" t="s">
        <v>24</v>
      </c>
      <c r="N506" t="s">
        <v>19</v>
      </c>
      <c r="O506" t="s">
        <v>20</v>
      </c>
    </row>
    <row r="507" spans="1:25" ht="15" customHeight="1">
      <c r="A507" s="5" t="str">
        <f t="shared" si="328"/>
        <v>514444</v>
      </c>
      <c r="B507" s="2" t="s">
        <v>815</v>
      </c>
      <c r="C507" s="1">
        <v>2510</v>
      </c>
      <c r="D507" s="1" t="s">
        <v>813</v>
      </c>
      <c r="E507" s="1">
        <v>4</v>
      </c>
      <c r="F507" s="1" t="s">
        <v>150</v>
      </c>
      <c r="G507" s="1" t="s">
        <v>137</v>
      </c>
      <c r="H507" s="1" t="s">
        <v>17</v>
      </c>
      <c r="I507" s="2" t="str">
        <f t="shared" si="329"/>
        <v>24</v>
      </c>
      <c r="J507" s="2" t="str">
        <f t="shared" si="330"/>
        <v>23</v>
      </c>
      <c r="K507" s="1">
        <f t="shared" si="331"/>
        <v>1</v>
      </c>
      <c r="M507" t="s">
        <v>24</v>
      </c>
      <c r="N507" t="s">
        <v>19</v>
      </c>
      <c r="O507" t="s">
        <v>20</v>
      </c>
    </row>
    <row r="508" spans="1:25" ht="15" customHeight="1">
      <c r="A508" s="5" t="str">
        <f t="shared" si="328"/>
        <v>514444</v>
      </c>
      <c r="B508" s="2" t="s">
        <v>816</v>
      </c>
      <c r="C508" s="1">
        <v>2510</v>
      </c>
      <c r="D508" s="1" t="s">
        <v>813</v>
      </c>
      <c r="E508" s="1">
        <v>2</v>
      </c>
      <c r="F508" s="1" t="s">
        <v>142</v>
      </c>
      <c r="G508" s="1" t="s">
        <v>142</v>
      </c>
      <c r="H508" s="1" t="s">
        <v>17</v>
      </c>
      <c r="I508" s="2" t="str">
        <f t="shared" si="329"/>
        <v>22</v>
      </c>
      <c r="J508" s="2" t="str">
        <f t="shared" si="330"/>
        <v>22</v>
      </c>
      <c r="K508" s="1">
        <f t="shared" si="331"/>
        <v>0</v>
      </c>
      <c r="M508" t="s">
        <v>24</v>
      </c>
      <c r="N508" t="s">
        <v>19</v>
      </c>
      <c r="O508" t="s">
        <v>20</v>
      </c>
    </row>
    <row r="509" spans="1:25" ht="15" customHeight="1">
      <c r="A509" s="5" t="str">
        <f t="shared" si="328"/>
        <v>514444</v>
      </c>
      <c r="B509" s="2" t="s">
        <v>817</v>
      </c>
      <c r="C509" s="1">
        <v>2510</v>
      </c>
      <c r="D509" s="1" t="s">
        <v>813</v>
      </c>
      <c r="E509" s="1">
        <v>4</v>
      </c>
      <c r="F509" s="1" t="s">
        <v>150</v>
      </c>
      <c r="G509" s="1" t="s">
        <v>137</v>
      </c>
      <c r="H509" s="1" t="s">
        <v>17</v>
      </c>
      <c r="I509" s="2" t="str">
        <f t="shared" si="329"/>
        <v>24</v>
      </c>
      <c r="J509" s="2" t="str">
        <f t="shared" si="330"/>
        <v>23</v>
      </c>
      <c r="K509" s="1">
        <f t="shared" si="331"/>
        <v>1</v>
      </c>
      <c r="M509" t="s">
        <v>24</v>
      </c>
      <c r="N509" t="s">
        <v>19</v>
      </c>
      <c r="O509" t="s">
        <v>20</v>
      </c>
    </row>
    <row r="510" spans="1:25" ht="15" customHeight="1">
      <c r="A510" s="5" t="str">
        <f t="shared" si="328"/>
        <v>516199</v>
      </c>
      <c r="B510" s="2" t="s">
        <v>818</v>
      </c>
      <c r="C510" s="5">
        <v>2510</v>
      </c>
      <c r="D510" s="1" t="s">
        <v>783</v>
      </c>
      <c r="E510" s="1">
        <v>2</v>
      </c>
      <c r="F510" s="1" t="s">
        <v>150</v>
      </c>
      <c r="G510" s="1" t="s">
        <v>113</v>
      </c>
      <c r="H510" s="1" t="s">
        <v>17</v>
      </c>
      <c r="I510" s="2" t="str">
        <f t="shared" si="329"/>
        <v>24</v>
      </c>
      <c r="J510" s="2" t="str">
        <f t="shared" si="330"/>
        <v>21</v>
      </c>
      <c r="K510" s="1">
        <f t="shared" si="331"/>
        <v>3</v>
      </c>
      <c r="M510" t="s">
        <v>49</v>
      </c>
      <c r="N510" t="s">
        <v>50</v>
      </c>
      <c r="O510" t="s">
        <v>20</v>
      </c>
    </row>
    <row r="511" spans="1:25" ht="15" customHeight="1">
      <c r="A511" s="5" t="str">
        <f t="shared" si="328"/>
        <v>541068</v>
      </c>
      <c r="B511" s="2" t="s">
        <v>819</v>
      </c>
      <c r="C511" s="5">
        <v>2510</v>
      </c>
      <c r="D511" s="1" t="s">
        <v>820</v>
      </c>
      <c r="E511" s="1">
        <v>14</v>
      </c>
      <c r="F511" s="1" t="s">
        <v>821</v>
      </c>
      <c r="G511" s="1" t="s">
        <v>113</v>
      </c>
      <c r="H511" s="1" t="s">
        <v>570</v>
      </c>
      <c r="I511" s="2" t="str">
        <f t="shared" si="329"/>
        <v>32</v>
      </c>
      <c r="J511" s="2" t="str">
        <f t="shared" si="330"/>
        <v>21</v>
      </c>
      <c r="K511" s="1">
        <f t="shared" si="331"/>
        <v>11</v>
      </c>
      <c r="M511" t="s">
        <v>91</v>
      </c>
      <c r="N511" t="s">
        <v>19</v>
      </c>
      <c r="O511" t="s">
        <v>570</v>
      </c>
    </row>
    <row r="512" spans="1:25" ht="15" customHeight="1">
      <c r="A512" s="5" t="str">
        <f t="shared" si="328"/>
        <v>541068</v>
      </c>
      <c r="B512" s="2" t="s">
        <v>822</v>
      </c>
      <c r="C512" s="5">
        <v>2510</v>
      </c>
      <c r="D512" s="1" t="s">
        <v>820</v>
      </c>
      <c r="E512" s="1">
        <v>1</v>
      </c>
      <c r="F512" s="1" t="s">
        <v>549</v>
      </c>
      <c r="G512" s="1" t="s">
        <v>113</v>
      </c>
      <c r="H512" s="1" t="s">
        <v>570</v>
      </c>
      <c r="I512" s="2" t="str">
        <f t="shared" si="329"/>
        <v>29</v>
      </c>
      <c r="J512" s="2" t="str">
        <f t="shared" si="330"/>
        <v>21</v>
      </c>
      <c r="K512" s="1">
        <f t="shared" si="331"/>
        <v>8</v>
      </c>
      <c r="M512" t="s">
        <v>91</v>
      </c>
      <c r="N512" t="s">
        <v>19</v>
      </c>
      <c r="O512" t="s">
        <v>570</v>
      </c>
    </row>
    <row r="513" spans="1:15">
      <c r="A513" s="5" t="str">
        <f t="shared" si="328"/>
        <v>514445</v>
      </c>
      <c r="B513" s="2" t="s">
        <v>823</v>
      </c>
      <c r="C513" s="9">
        <v>2510</v>
      </c>
      <c r="D513" s="9" t="s">
        <v>824</v>
      </c>
      <c r="E513" s="9">
        <v>2</v>
      </c>
      <c r="F513" s="9" t="s">
        <v>193</v>
      </c>
      <c r="G513" s="9" t="s">
        <v>137</v>
      </c>
      <c r="H513" s="9" t="s">
        <v>17</v>
      </c>
      <c r="I513" s="2" t="str">
        <f t="shared" si="329"/>
        <v>26</v>
      </c>
      <c r="J513" s="2" t="str">
        <f t="shared" si="330"/>
        <v>23</v>
      </c>
      <c r="K513" s="1">
        <f t="shared" si="331"/>
        <v>3</v>
      </c>
      <c r="M513" t="s">
        <v>24</v>
      </c>
      <c r="N513" t="s">
        <v>19</v>
      </c>
      <c r="O513" t="s">
        <v>20</v>
      </c>
    </row>
    <row r="514" spans="1:15">
      <c r="A514" s="5" t="str">
        <f t="shared" si="328"/>
        <v>514445</v>
      </c>
      <c r="B514" s="2" t="s">
        <v>825</v>
      </c>
      <c r="C514" s="9">
        <v>2510</v>
      </c>
      <c r="D514" s="9" t="s">
        <v>824</v>
      </c>
      <c r="E514" s="9">
        <v>2</v>
      </c>
      <c r="F514" s="9" t="s">
        <v>150</v>
      </c>
      <c r="G514" s="9" t="s">
        <v>137</v>
      </c>
      <c r="H514" s="9" t="s">
        <v>17</v>
      </c>
      <c r="I514" s="2" t="str">
        <f t="shared" si="329"/>
        <v>24</v>
      </c>
      <c r="J514" s="2" t="str">
        <f t="shared" si="330"/>
        <v>23</v>
      </c>
      <c r="K514" s="1">
        <f t="shared" si="331"/>
        <v>1</v>
      </c>
      <c r="M514" t="s">
        <v>24</v>
      </c>
      <c r="N514" t="s">
        <v>19</v>
      </c>
      <c r="O514" t="s">
        <v>20</v>
      </c>
    </row>
    <row r="515" spans="1:15">
      <c r="A515" s="5" t="str">
        <f t="shared" ref="A515:A578" si="332">LEFT(B515,6)</f>
        <v>514445</v>
      </c>
      <c r="B515" s="2" t="s">
        <v>826</v>
      </c>
      <c r="C515" s="9">
        <v>2510</v>
      </c>
      <c r="D515" s="9" t="s">
        <v>824</v>
      </c>
      <c r="E515" s="9">
        <v>2</v>
      </c>
      <c r="F515" s="9" t="s">
        <v>150</v>
      </c>
      <c r="G515" s="9" t="s">
        <v>137</v>
      </c>
      <c r="H515" s="9" t="s">
        <v>17</v>
      </c>
      <c r="I515" s="2" t="str">
        <f t="shared" si="329"/>
        <v>24</v>
      </c>
      <c r="J515" s="2" t="str">
        <f t="shared" si="330"/>
        <v>23</v>
      </c>
      <c r="K515" s="1">
        <f t="shared" si="331"/>
        <v>1</v>
      </c>
      <c r="M515" t="s">
        <v>24</v>
      </c>
      <c r="N515" t="s">
        <v>19</v>
      </c>
      <c r="O515" t="s">
        <v>20</v>
      </c>
    </row>
    <row r="516" spans="1:15">
      <c r="A516" s="5" t="str">
        <f t="shared" si="332"/>
        <v>514446</v>
      </c>
      <c r="B516" s="2" t="s">
        <v>827</v>
      </c>
      <c r="C516" s="9">
        <v>2510</v>
      </c>
      <c r="D516" s="9" t="s">
        <v>828</v>
      </c>
      <c r="E516" s="9">
        <v>2</v>
      </c>
      <c r="F516" s="9" t="s">
        <v>193</v>
      </c>
      <c r="G516" s="9" t="s">
        <v>137</v>
      </c>
      <c r="H516" s="9" t="s">
        <v>17</v>
      </c>
      <c r="I516" s="2" t="str">
        <f t="shared" si="329"/>
        <v>26</v>
      </c>
      <c r="J516" s="2" t="str">
        <f t="shared" si="330"/>
        <v>23</v>
      </c>
      <c r="K516" s="1">
        <f t="shared" si="331"/>
        <v>3</v>
      </c>
      <c r="M516" t="s">
        <v>18</v>
      </c>
      <c r="N516" t="s">
        <v>19</v>
      </c>
      <c r="O516" t="s">
        <v>20</v>
      </c>
    </row>
    <row r="517" spans="1:15">
      <c r="A517" s="5" t="str">
        <f t="shared" si="332"/>
        <v>514446</v>
      </c>
      <c r="B517" s="2" t="s">
        <v>829</v>
      </c>
      <c r="C517" s="9">
        <v>2510</v>
      </c>
      <c r="D517" s="9" t="s">
        <v>828</v>
      </c>
      <c r="E517" s="9">
        <v>2</v>
      </c>
      <c r="F517" s="9" t="s">
        <v>150</v>
      </c>
      <c r="G517" s="9" t="s">
        <v>137</v>
      </c>
      <c r="H517" s="9" t="s">
        <v>17</v>
      </c>
      <c r="I517" s="2" t="str">
        <f t="shared" si="329"/>
        <v>24</v>
      </c>
      <c r="J517" s="2" t="str">
        <f t="shared" si="330"/>
        <v>23</v>
      </c>
      <c r="K517" s="1">
        <f t="shared" si="331"/>
        <v>1</v>
      </c>
      <c r="M517" t="s">
        <v>18</v>
      </c>
      <c r="N517" t="s">
        <v>19</v>
      </c>
      <c r="O517" t="s">
        <v>20</v>
      </c>
    </row>
    <row r="518" spans="1:15">
      <c r="A518" s="5" t="str">
        <f t="shared" si="332"/>
        <v>514446</v>
      </c>
      <c r="B518" s="2" t="s">
        <v>830</v>
      </c>
      <c r="C518" s="9">
        <v>2510</v>
      </c>
      <c r="D518" s="9" t="s">
        <v>828</v>
      </c>
      <c r="E518" s="9">
        <v>6</v>
      </c>
      <c r="F518" s="9" t="s">
        <v>150</v>
      </c>
      <c r="G518" s="9" t="s">
        <v>137</v>
      </c>
      <c r="H518" s="9" t="s">
        <v>17</v>
      </c>
      <c r="I518" s="2" t="str">
        <f t="shared" si="329"/>
        <v>24</v>
      </c>
      <c r="J518" s="2" t="str">
        <f t="shared" si="330"/>
        <v>23</v>
      </c>
      <c r="K518" s="1">
        <f t="shared" si="331"/>
        <v>1</v>
      </c>
      <c r="M518" t="s">
        <v>18</v>
      </c>
      <c r="N518" t="s">
        <v>19</v>
      </c>
      <c r="O518" t="s">
        <v>20</v>
      </c>
    </row>
    <row r="519" spans="1:15">
      <c r="A519" s="5" t="str">
        <f t="shared" si="332"/>
        <v>514447</v>
      </c>
      <c r="B519" s="2" t="s">
        <v>831</v>
      </c>
      <c r="C519" s="9">
        <v>2510</v>
      </c>
      <c r="D519" s="9" t="s">
        <v>832</v>
      </c>
      <c r="E519" s="9">
        <v>14</v>
      </c>
      <c r="F519" s="9" t="s">
        <v>150</v>
      </c>
      <c r="G519" s="9" t="s">
        <v>137</v>
      </c>
      <c r="H519" s="9" t="s">
        <v>17</v>
      </c>
      <c r="I519" s="2" t="str">
        <f t="shared" si="329"/>
        <v>24</v>
      </c>
      <c r="J519" s="2" t="str">
        <f t="shared" si="330"/>
        <v>23</v>
      </c>
      <c r="K519" s="1">
        <f t="shared" si="331"/>
        <v>1</v>
      </c>
      <c r="M519" t="s">
        <v>24</v>
      </c>
      <c r="N519" t="s">
        <v>19</v>
      </c>
      <c r="O519" t="s">
        <v>20</v>
      </c>
    </row>
    <row r="520" spans="1:15">
      <c r="A520" s="5" t="str">
        <f t="shared" si="332"/>
        <v>514447</v>
      </c>
      <c r="B520" s="2" t="s">
        <v>833</v>
      </c>
      <c r="C520" s="9">
        <v>2510</v>
      </c>
      <c r="D520" s="9" t="s">
        <v>832</v>
      </c>
      <c r="E520" s="9">
        <v>15</v>
      </c>
      <c r="F520" s="9" t="s">
        <v>150</v>
      </c>
      <c r="G520" s="9" t="s">
        <v>137</v>
      </c>
      <c r="H520" s="9" t="s">
        <v>17</v>
      </c>
      <c r="I520" s="2" t="str">
        <f t="shared" si="329"/>
        <v>24</v>
      </c>
      <c r="J520" s="2" t="str">
        <f t="shared" si="330"/>
        <v>23</v>
      </c>
      <c r="K520" s="1">
        <f t="shared" si="331"/>
        <v>1</v>
      </c>
      <c r="M520" t="s">
        <v>24</v>
      </c>
      <c r="N520" t="s">
        <v>19</v>
      </c>
      <c r="O520" t="s">
        <v>20</v>
      </c>
    </row>
    <row r="521" spans="1:15">
      <c r="A521" s="5" t="str">
        <f t="shared" si="332"/>
        <v>514447</v>
      </c>
      <c r="B521" s="2" t="s">
        <v>834</v>
      </c>
      <c r="C521" s="9">
        <v>2510</v>
      </c>
      <c r="D521" s="9" t="s">
        <v>832</v>
      </c>
      <c r="E521" s="9">
        <v>16</v>
      </c>
      <c r="F521" s="9" t="s">
        <v>142</v>
      </c>
      <c r="G521" s="9" t="s">
        <v>142</v>
      </c>
      <c r="H521" s="9" t="s">
        <v>17</v>
      </c>
      <c r="I521" s="2" t="str">
        <f t="shared" si="329"/>
        <v>22</v>
      </c>
      <c r="J521" s="2" t="str">
        <f t="shared" si="330"/>
        <v>22</v>
      </c>
      <c r="K521" s="1">
        <f t="shared" si="331"/>
        <v>0</v>
      </c>
      <c r="M521" t="s">
        <v>24</v>
      </c>
      <c r="N521" t="s">
        <v>19</v>
      </c>
      <c r="O521" t="s">
        <v>20</v>
      </c>
    </row>
    <row r="522" spans="1:15">
      <c r="A522" s="5" t="str">
        <f t="shared" si="332"/>
        <v>514447</v>
      </c>
      <c r="B522" s="2" t="s">
        <v>835</v>
      </c>
      <c r="C522" s="9">
        <v>2510</v>
      </c>
      <c r="D522" s="9" t="s">
        <v>832</v>
      </c>
      <c r="E522" s="9">
        <v>17</v>
      </c>
      <c r="F522" s="9" t="s">
        <v>150</v>
      </c>
      <c r="G522" s="9" t="s">
        <v>137</v>
      </c>
      <c r="H522" s="9" t="s">
        <v>17</v>
      </c>
      <c r="I522" s="2" t="str">
        <f t="shared" si="329"/>
        <v>24</v>
      </c>
      <c r="J522" s="2" t="str">
        <f t="shared" si="330"/>
        <v>23</v>
      </c>
      <c r="K522" s="1">
        <f t="shared" si="331"/>
        <v>1</v>
      </c>
      <c r="M522" t="s">
        <v>24</v>
      </c>
      <c r="N522" t="s">
        <v>19</v>
      </c>
      <c r="O522" t="s">
        <v>20</v>
      </c>
    </row>
    <row r="523" spans="1:15">
      <c r="A523" s="5" t="str">
        <f t="shared" si="332"/>
        <v>525414</v>
      </c>
      <c r="B523" s="2" t="s">
        <v>836</v>
      </c>
      <c r="C523" s="9">
        <v>2510</v>
      </c>
      <c r="D523" s="9" t="s">
        <v>837</v>
      </c>
      <c r="E523" s="9">
        <v>1</v>
      </c>
      <c r="F523" s="9" t="s">
        <v>193</v>
      </c>
      <c r="G523" s="9" t="s">
        <v>137</v>
      </c>
      <c r="H523" s="9" t="s">
        <v>17</v>
      </c>
      <c r="I523" s="2" t="str">
        <f t="shared" si="329"/>
        <v>26</v>
      </c>
      <c r="J523" s="2" t="str">
        <f t="shared" si="330"/>
        <v>23</v>
      </c>
      <c r="K523" s="1">
        <f t="shared" si="331"/>
        <v>3</v>
      </c>
      <c r="M523" t="s">
        <v>18</v>
      </c>
      <c r="N523" t="s">
        <v>19</v>
      </c>
      <c r="O523" t="s">
        <v>20</v>
      </c>
    </row>
    <row r="524" spans="1:15">
      <c r="A524" s="5" t="str">
        <f t="shared" si="332"/>
        <v>525414</v>
      </c>
      <c r="B524" s="2" t="s">
        <v>838</v>
      </c>
      <c r="C524" s="9">
        <v>2510</v>
      </c>
      <c r="D524" s="9" t="s">
        <v>837</v>
      </c>
      <c r="E524" s="9">
        <v>2</v>
      </c>
      <c r="F524" s="9" t="s">
        <v>150</v>
      </c>
      <c r="G524" s="9" t="s">
        <v>137</v>
      </c>
      <c r="H524" s="9" t="s">
        <v>17</v>
      </c>
      <c r="I524" s="2" t="str">
        <f t="shared" si="329"/>
        <v>24</v>
      </c>
      <c r="J524" s="2" t="str">
        <f t="shared" si="330"/>
        <v>23</v>
      </c>
      <c r="K524" s="1">
        <f t="shared" si="331"/>
        <v>1</v>
      </c>
      <c r="M524" t="s">
        <v>18</v>
      </c>
      <c r="N524" t="s">
        <v>19</v>
      </c>
      <c r="O524" t="s">
        <v>20</v>
      </c>
    </row>
    <row r="525" spans="1:15">
      <c r="A525" s="5" t="str">
        <f t="shared" si="332"/>
        <v>525414</v>
      </c>
      <c r="B525" s="2" t="s">
        <v>839</v>
      </c>
      <c r="C525" s="9">
        <v>2510</v>
      </c>
      <c r="D525" s="9" t="s">
        <v>837</v>
      </c>
      <c r="E525" s="9">
        <v>1</v>
      </c>
      <c r="F525" s="9" t="s">
        <v>150</v>
      </c>
      <c r="G525" s="9" t="s">
        <v>137</v>
      </c>
      <c r="H525" s="9" t="s">
        <v>17</v>
      </c>
      <c r="I525" s="2" t="str">
        <f t="shared" si="329"/>
        <v>24</v>
      </c>
      <c r="J525" s="2" t="str">
        <f t="shared" si="330"/>
        <v>23</v>
      </c>
      <c r="K525" s="1">
        <f t="shared" si="331"/>
        <v>1</v>
      </c>
      <c r="M525" t="s">
        <v>18</v>
      </c>
      <c r="N525" t="s">
        <v>19</v>
      </c>
      <c r="O525" t="s">
        <v>20</v>
      </c>
    </row>
    <row r="526" spans="1:15">
      <c r="A526" s="5" t="str">
        <f t="shared" si="332"/>
        <v>529446</v>
      </c>
      <c r="B526" s="2" t="s">
        <v>840</v>
      </c>
      <c r="C526" s="9">
        <v>2510</v>
      </c>
      <c r="D526" s="9" t="s">
        <v>841</v>
      </c>
      <c r="E526" s="9">
        <v>1</v>
      </c>
      <c r="F526" s="9" t="s">
        <v>150</v>
      </c>
      <c r="G526" s="9" t="s">
        <v>137</v>
      </c>
      <c r="H526" s="9" t="s">
        <v>17</v>
      </c>
      <c r="I526" s="2" t="str">
        <f t="shared" si="329"/>
        <v>24</v>
      </c>
      <c r="J526" s="2" t="str">
        <f t="shared" si="330"/>
        <v>23</v>
      </c>
      <c r="K526" s="1">
        <f t="shared" si="331"/>
        <v>1</v>
      </c>
      <c r="M526" t="s">
        <v>18</v>
      </c>
      <c r="N526" t="s">
        <v>19</v>
      </c>
      <c r="O526" t="s">
        <v>20</v>
      </c>
    </row>
    <row r="527" spans="1:15">
      <c r="A527" s="5" t="str">
        <f t="shared" si="332"/>
        <v>529447</v>
      </c>
      <c r="B527" s="2" t="s">
        <v>842</v>
      </c>
      <c r="C527" s="9">
        <v>2510</v>
      </c>
      <c r="D527" s="9" t="s">
        <v>841</v>
      </c>
      <c r="E527" s="9">
        <v>1</v>
      </c>
      <c r="F527" s="9" t="s">
        <v>150</v>
      </c>
      <c r="G527" s="9" t="s">
        <v>137</v>
      </c>
      <c r="H527" s="9" t="s">
        <v>17</v>
      </c>
      <c r="I527" s="2" t="str">
        <f t="shared" si="329"/>
        <v>24</v>
      </c>
      <c r="J527" s="2" t="str">
        <f t="shared" si="330"/>
        <v>23</v>
      </c>
      <c r="K527" s="1">
        <f t="shared" si="331"/>
        <v>1</v>
      </c>
      <c r="M527" t="s">
        <v>18</v>
      </c>
      <c r="N527" t="s">
        <v>19</v>
      </c>
      <c r="O527" t="s">
        <v>20</v>
      </c>
    </row>
    <row r="528" spans="1:15">
      <c r="A528" s="5" t="str">
        <f t="shared" si="332"/>
        <v>516478</v>
      </c>
      <c r="B528" s="2" t="s">
        <v>843</v>
      </c>
      <c r="C528" s="9">
        <v>2510</v>
      </c>
      <c r="D528" s="9" t="s">
        <v>844</v>
      </c>
      <c r="E528" s="9">
        <v>1</v>
      </c>
      <c r="F528" s="9" t="s">
        <v>150</v>
      </c>
      <c r="G528" s="9" t="s">
        <v>137</v>
      </c>
      <c r="H528" s="9" t="s">
        <v>17</v>
      </c>
      <c r="I528" s="2" t="str">
        <f t="shared" si="329"/>
        <v>24</v>
      </c>
      <c r="J528" s="2" t="str">
        <f t="shared" si="330"/>
        <v>23</v>
      </c>
      <c r="K528" s="1">
        <f t="shared" si="331"/>
        <v>1</v>
      </c>
      <c r="M528" t="s">
        <v>24</v>
      </c>
      <c r="N528" t="s">
        <v>50</v>
      </c>
      <c r="O528" t="s">
        <v>20</v>
      </c>
    </row>
    <row r="529" spans="1:15">
      <c r="A529" s="5" t="str">
        <f t="shared" si="332"/>
        <v>516478</v>
      </c>
      <c r="B529" s="2" t="s">
        <v>845</v>
      </c>
      <c r="C529" s="9">
        <v>2510</v>
      </c>
      <c r="D529" s="9" t="s">
        <v>844</v>
      </c>
      <c r="E529" s="9">
        <v>1</v>
      </c>
      <c r="F529" s="9" t="s">
        <v>204</v>
      </c>
      <c r="G529" s="9" t="s">
        <v>137</v>
      </c>
      <c r="H529" s="9" t="s">
        <v>17</v>
      </c>
      <c r="I529" s="2" t="str">
        <f t="shared" si="329"/>
        <v>25</v>
      </c>
      <c r="J529" s="2" t="str">
        <f t="shared" si="330"/>
        <v>23</v>
      </c>
      <c r="K529" s="1">
        <f t="shared" si="331"/>
        <v>2</v>
      </c>
      <c r="M529" t="s">
        <v>24</v>
      </c>
      <c r="N529" t="s">
        <v>50</v>
      </c>
      <c r="O529" t="s">
        <v>20</v>
      </c>
    </row>
    <row r="530" spans="1:15">
      <c r="A530" s="5" t="str">
        <f t="shared" si="332"/>
        <v>516478</v>
      </c>
      <c r="B530" s="2" t="s">
        <v>846</v>
      </c>
      <c r="C530" s="9">
        <v>2510</v>
      </c>
      <c r="D530" s="9" t="s">
        <v>844</v>
      </c>
      <c r="E530" s="9">
        <v>1</v>
      </c>
      <c r="F530" s="9" t="s">
        <v>150</v>
      </c>
      <c r="G530" s="9" t="s">
        <v>137</v>
      </c>
      <c r="H530" s="9" t="s">
        <v>17</v>
      </c>
      <c r="I530" s="2" t="str">
        <f t="shared" si="329"/>
        <v>24</v>
      </c>
      <c r="J530" s="2" t="str">
        <f t="shared" si="330"/>
        <v>23</v>
      </c>
      <c r="K530" s="1">
        <f t="shared" si="331"/>
        <v>1</v>
      </c>
      <c r="M530" t="s">
        <v>24</v>
      </c>
      <c r="N530" t="s">
        <v>50</v>
      </c>
      <c r="O530" t="s">
        <v>20</v>
      </c>
    </row>
    <row r="531" spans="1:15">
      <c r="A531" s="5" t="str">
        <f t="shared" si="332"/>
        <v>516608</v>
      </c>
      <c r="B531" s="2" t="s">
        <v>847</v>
      </c>
      <c r="C531" s="9">
        <v>2510</v>
      </c>
      <c r="D531" s="9" t="s">
        <v>848</v>
      </c>
      <c r="E531" s="9">
        <v>2</v>
      </c>
      <c r="F531" s="9" t="s">
        <v>204</v>
      </c>
      <c r="G531" s="9" t="s">
        <v>113</v>
      </c>
      <c r="H531" s="9" t="s">
        <v>17</v>
      </c>
      <c r="I531" s="2" t="str">
        <f t="shared" si="329"/>
        <v>25</v>
      </c>
      <c r="J531" s="2" t="str">
        <f t="shared" si="330"/>
        <v>21</v>
      </c>
      <c r="K531" s="1">
        <f t="shared" si="331"/>
        <v>4</v>
      </c>
      <c r="M531" t="s">
        <v>24</v>
      </c>
      <c r="N531" t="s">
        <v>50</v>
      </c>
      <c r="O531" t="s">
        <v>20</v>
      </c>
    </row>
    <row r="532" spans="1:15">
      <c r="A532" s="5" t="str">
        <f t="shared" si="332"/>
        <v>516608</v>
      </c>
      <c r="B532" s="2" t="s">
        <v>849</v>
      </c>
      <c r="C532" s="9">
        <v>2510</v>
      </c>
      <c r="D532" s="9" t="s">
        <v>848</v>
      </c>
      <c r="E532" s="9">
        <v>1</v>
      </c>
      <c r="F532" s="9" t="s">
        <v>150</v>
      </c>
      <c r="G532" s="9" t="s">
        <v>113</v>
      </c>
      <c r="H532" s="9" t="s">
        <v>17</v>
      </c>
      <c r="I532" s="2" t="str">
        <f t="shared" si="329"/>
        <v>24</v>
      </c>
      <c r="J532" s="2" t="str">
        <f t="shared" si="330"/>
        <v>21</v>
      </c>
      <c r="K532" s="1">
        <f t="shared" si="331"/>
        <v>3</v>
      </c>
      <c r="M532" t="s">
        <v>24</v>
      </c>
      <c r="N532" t="s">
        <v>50</v>
      </c>
      <c r="O532" t="s">
        <v>20</v>
      </c>
    </row>
    <row r="533" spans="1:15">
      <c r="A533" s="5" t="str">
        <f t="shared" si="332"/>
        <v>516608</v>
      </c>
      <c r="B533" s="2" t="s">
        <v>850</v>
      </c>
      <c r="C533" s="9">
        <v>2510</v>
      </c>
      <c r="D533" s="9" t="s">
        <v>848</v>
      </c>
      <c r="E533" s="9">
        <v>1</v>
      </c>
      <c r="F533" s="9" t="s">
        <v>204</v>
      </c>
      <c r="G533" s="9" t="s">
        <v>113</v>
      </c>
      <c r="H533" s="9" t="s">
        <v>17</v>
      </c>
      <c r="I533" s="2" t="str">
        <f t="shared" si="329"/>
        <v>25</v>
      </c>
      <c r="J533" s="2" t="str">
        <f t="shared" si="330"/>
        <v>21</v>
      </c>
      <c r="K533" s="1">
        <f t="shared" si="331"/>
        <v>4</v>
      </c>
      <c r="M533" t="s">
        <v>24</v>
      </c>
      <c r="N533" t="s">
        <v>50</v>
      </c>
      <c r="O533" t="s">
        <v>20</v>
      </c>
    </row>
    <row r="534" spans="1:15">
      <c r="A534" s="5" t="str">
        <f t="shared" si="332"/>
        <v>516608</v>
      </c>
      <c r="B534" s="2" t="s">
        <v>851</v>
      </c>
      <c r="C534" s="9">
        <v>2510</v>
      </c>
      <c r="D534" s="9" t="s">
        <v>848</v>
      </c>
      <c r="E534" s="9">
        <v>2</v>
      </c>
      <c r="F534" s="9" t="s">
        <v>204</v>
      </c>
      <c r="G534" s="9" t="s">
        <v>113</v>
      </c>
      <c r="H534" s="9" t="s">
        <v>17</v>
      </c>
      <c r="I534" s="2" t="str">
        <f t="shared" si="329"/>
        <v>25</v>
      </c>
      <c r="J534" s="2" t="str">
        <f t="shared" si="330"/>
        <v>21</v>
      </c>
      <c r="K534" s="1">
        <f t="shared" si="331"/>
        <v>4</v>
      </c>
      <c r="M534" t="s">
        <v>24</v>
      </c>
      <c r="N534" t="s">
        <v>50</v>
      </c>
      <c r="O534" t="s">
        <v>20</v>
      </c>
    </row>
    <row r="535" spans="1:15">
      <c r="A535" s="5" t="str">
        <f t="shared" si="332"/>
        <v>515060</v>
      </c>
      <c r="B535" s="2" t="s">
        <v>852</v>
      </c>
      <c r="C535" s="9">
        <v>2505</v>
      </c>
      <c r="D535" s="9" t="s">
        <v>853</v>
      </c>
      <c r="E535" s="9">
        <v>22</v>
      </c>
      <c r="F535" s="9" t="s">
        <v>204</v>
      </c>
      <c r="G535" s="9" t="s">
        <v>854</v>
      </c>
      <c r="H535" s="9" t="s">
        <v>17</v>
      </c>
      <c r="I535" s="2" t="str">
        <f t="shared" si="329"/>
        <v>25</v>
      </c>
      <c r="J535" s="2" t="str">
        <f t="shared" si="330"/>
        <v>23</v>
      </c>
      <c r="K535" s="1">
        <f t="shared" si="331"/>
        <v>2</v>
      </c>
      <c r="M535" t="s">
        <v>855</v>
      </c>
      <c r="N535" t="s">
        <v>50</v>
      </c>
      <c r="O535" t="s">
        <v>20</v>
      </c>
    </row>
    <row r="536" spans="1:15">
      <c r="A536" s="5" t="str">
        <f t="shared" si="332"/>
        <v>515060</v>
      </c>
      <c r="B536" s="2" t="s">
        <v>856</v>
      </c>
      <c r="C536" s="9">
        <v>2507</v>
      </c>
      <c r="D536" s="9" t="s">
        <v>853</v>
      </c>
      <c r="E536" s="9">
        <v>2</v>
      </c>
      <c r="F536" s="9" t="s">
        <v>150</v>
      </c>
      <c r="G536" s="9" t="s">
        <v>857</v>
      </c>
      <c r="H536" s="9" t="s">
        <v>17</v>
      </c>
      <c r="I536" s="2" t="str">
        <f t="shared" si="329"/>
        <v>24</v>
      </c>
      <c r="J536" s="2" t="str">
        <f t="shared" si="330"/>
        <v>23</v>
      </c>
      <c r="K536" s="1">
        <f t="shared" si="331"/>
        <v>1</v>
      </c>
      <c r="M536" t="s">
        <v>855</v>
      </c>
      <c r="N536" t="s">
        <v>50</v>
      </c>
      <c r="O536" t="s">
        <v>20</v>
      </c>
    </row>
    <row r="537" spans="1:15">
      <c r="A537" s="5" t="str">
        <f t="shared" si="332"/>
        <v>515060</v>
      </c>
      <c r="B537" s="2" t="s">
        <v>858</v>
      </c>
      <c r="C537" s="9">
        <v>2508</v>
      </c>
      <c r="D537" s="9" t="s">
        <v>853</v>
      </c>
      <c r="E537" s="9">
        <v>2</v>
      </c>
      <c r="F537" s="9" t="s">
        <v>204</v>
      </c>
      <c r="G537" s="9" t="s">
        <v>859</v>
      </c>
      <c r="H537" s="9" t="s">
        <v>17</v>
      </c>
      <c r="I537" s="2" t="str">
        <f t="shared" si="329"/>
        <v>25</v>
      </c>
      <c r="J537" s="2" t="str">
        <f t="shared" si="330"/>
        <v>23</v>
      </c>
      <c r="K537" s="1">
        <f t="shared" si="331"/>
        <v>2</v>
      </c>
      <c r="M537" t="s">
        <v>855</v>
      </c>
      <c r="N537" t="s">
        <v>50</v>
      </c>
      <c r="O537" t="s">
        <v>20</v>
      </c>
    </row>
    <row r="538" spans="1:15">
      <c r="A538" s="5" t="str">
        <f t="shared" si="332"/>
        <v>515060</v>
      </c>
      <c r="B538" s="2" t="s">
        <v>860</v>
      </c>
      <c r="C538" s="9">
        <v>2509</v>
      </c>
      <c r="D538" s="9" t="s">
        <v>853</v>
      </c>
      <c r="E538" s="9">
        <v>2</v>
      </c>
      <c r="F538" s="9" t="s">
        <v>204</v>
      </c>
      <c r="G538" s="9" t="s">
        <v>861</v>
      </c>
      <c r="H538" s="9" t="s">
        <v>17</v>
      </c>
      <c r="I538" s="2" t="str">
        <f t="shared" si="329"/>
        <v>25</v>
      </c>
      <c r="J538" s="2" t="str">
        <f t="shared" si="330"/>
        <v>23</v>
      </c>
      <c r="K538" s="1">
        <f t="shared" si="331"/>
        <v>2</v>
      </c>
      <c r="M538" t="s">
        <v>855</v>
      </c>
      <c r="N538" t="s">
        <v>50</v>
      </c>
      <c r="O538" t="s">
        <v>20</v>
      </c>
    </row>
    <row r="539" spans="1:15">
      <c r="A539" s="5" t="str">
        <f t="shared" si="332"/>
        <v>515061</v>
      </c>
      <c r="B539" s="2" t="s">
        <v>862</v>
      </c>
      <c r="C539" s="9">
        <v>2510</v>
      </c>
      <c r="D539" s="9" t="s">
        <v>863</v>
      </c>
      <c r="E539" s="9">
        <v>8</v>
      </c>
      <c r="F539" s="9" t="s">
        <v>204</v>
      </c>
      <c r="G539" s="9" t="s">
        <v>864</v>
      </c>
      <c r="H539" s="9" t="s">
        <v>17</v>
      </c>
      <c r="I539" s="2" t="str">
        <f t="shared" si="329"/>
        <v>25</v>
      </c>
      <c r="J539" s="2" t="str">
        <f t="shared" si="330"/>
        <v>23</v>
      </c>
      <c r="K539" s="1">
        <f t="shared" si="331"/>
        <v>2</v>
      </c>
      <c r="M539" t="s">
        <v>855</v>
      </c>
      <c r="N539" t="s">
        <v>50</v>
      </c>
      <c r="O539" t="s">
        <v>20</v>
      </c>
    </row>
    <row r="540" spans="1:15">
      <c r="A540" s="5" t="str">
        <f t="shared" si="332"/>
        <v>515061</v>
      </c>
      <c r="B540" s="2" t="s">
        <v>865</v>
      </c>
      <c r="C540" s="9">
        <v>2510</v>
      </c>
      <c r="D540" s="9" t="s">
        <v>863</v>
      </c>
      <c r="E540" s="9">
        <v>2</v>
      </c>
      <c r="F540" s="9" t="s">
        <v>150</v>
      </c>
      <c r="G540" s="9" t="s">
        <v>859</v>
      </c>
      <c r="H540" s="9" t="s">
        <v>17</v>
      </c>
      <c r="I540" s="2" t="str">
        <f t="shared" si="329"/>
        <v>24</v>
      </c>
      <c r="J540" s="2" t="str">
        <f t="shared" si="330"/>
        <v>23</v>
      </c>
      <c r="K540" s="1">
        <f t="shared" si="331"/>
        <v>1</v>
      </c>
      <c r="M540" t="s">
        <v>855</v>
      </c>
      <c r="N540" t="s">
        <v>50</v>
      </c>
      <c r="O540" t="s">
        <v>20</v>
      </c>
    </row>
    <row r="541" spans="1:15">
      <c r="A541" s="5" t="str">
        <f t="shared" si="332"/>
        <v>515061</v>
      </c>
      <c r="B541" s="2" t="s">
        <v>866</v>
      </c>
      <c r="C541" s="9">
        <v>2510</v>
      </c>
      <c r="D541" s="9" t="s">
        <v>863</v>
      </c>
      <c r="E541" s="9">
        <v>1</v>
      </c>
      <c r="F541" s="9" t="s">
        <v>204</v>
      </c>
      <c r="G541" s="9" t="s">
        <v>861</v>
      </c>
      <c r="H541" s="9" t="s">
        <v>17</v>
      </c>
      <c r="I541" s="2" t="str">
        <f t="shared" si="329"/>
        <v>25</v>
      </c>
      <c r="J541" s="2" t="str">
        <f t="shared" si="330"/>
        <v>23</v>
      </c>
      <c r="K541" s="1">
        <f t="shared" si="331"/>
        <v>2</v>
      </c>
      <c r="M541" t="s">
        <v>855</v>
      </c>
      <c r="N541" t="s">
        <v>50</v>
      </c>
      <c r="O541" t="s">
        <v>20</v>
      </c>
    </row>
    <row r="542" spans="1:15">
      <c r="A542" s="5" t="str">
        <f t="shared" si="332"/>
        <v>515061</v>
      </c>
      <c r="B542" s="2" t="s">
        <v>867</v>
      </c>
      <c r="C542" s="9">
        <v>2510</v>
      </c>
      <c r="D542" s="9" t="s">
        <v>863</v>
      </c>
      <c r="E542" s="9">
        <v>1</v>
      </c>
      <c r="F542" s="9" t="s">
        <v>150</v>
      </c>
      <c r="G542" s="9" t="s">
        <v>137</v>
      </c>
      <c r="H542" s="9" t="s">
        <v>17</v>
      </c>
      <c r="I542" s="2" t="str">
        <f t="shared" si="329"/>
        <v>24</v>
      </c>
      <c r="J542" s="2" t="str">
        <f t="shared" si="330"/>
        <v>23</v>
      </c>
      <c r="K542" s="1">
        <f t="shared" si="331"/>
        <v>1</v>
      </c>
      <c r="M542" t="s">
        <v>855</v>
      </c>
      <c r="N542" t="s">
        <v>50</v>
      </c>
      <c r="O542" t="s">
        <v>20</v>
      </c>
    </row>
    <row r="543" spans="1:15">
      <c r="A543" s="5" t="str">
        <f t="shared" si="332"/>
        <v>515062</v>
      </c>
      <c r="B543" s="2" t="s">
        <v>868</v>
      </c>
      <c r="C543" s="9">
        <v>2510</v>
      </c>
      <c r="D543" s="9" t="s">
        <v>869</v>
      </c>
      <c r="E543" s="9">
        <v>8</v>
      </c>
      <c r="F543" s="9" t="s">
        <v>204</v>
      </c>
      <c r="G543" s="9" t="s">
        <v>854</v>
      </c>
      <c r="H543" s="9" t="s">
        <v>17</v>
      </c>
      <c r="I543" s="2" t="str">
        <f t="shared" si="329"/>
        <v>25</v>
      </c>
      <c r="J543" s="2" t="str">
        <f t="shared" si="330"/>
        <v>23</v>
      </c>
      <c r="K543" s="1">
        <f t="shared" si="331"/>
        <v>2</v>
      </c>
      <c r="M543" t="s">
        <v>855</v>
      </c>
      <c r="N543" t="s">
        <v>50</v>
      </c>
      <c r="O543" t="s">
        <v>20</v>
      </c>
    </row>
    <row r="544" spans="1:15">
      <c r="A544" s="5" t="str">
        <f t="shared" si="332"/>
        <v>515062</v>
      </c>
      <c r="B544" s="2" t="s">
        <v>870</v>
      </c>
      <c r="C544" s="9">
        <v>2510</v>
      </c>
      <c r="D544" s="9" t="s">
        <v>869</v>
      </c>
      <c r="E544" s="9">
        <v>2</v>
      </c>
      <c r="F544" s="9" t="s">
        <v>150</v>
      </c>
      <c r="G544" s="9" t="s">
        <v>857</v>
      </c>
      <c r="H544" s="9" t="s">
        <v>17</v>
      </c>
      <c r="I544" s="2" t="str">
        <f t="shared" si="329"/>
        <v>24</v>
      </c>
      <c r="J544" s="2" t="str">
        <f t="shared" si="330"/>
        <v>23</v>
      </c>
      <c r="K544" s="1">
        <f t="shared" si="331"/>
        <v>1</v>
      </c>
      <c r="M544" t="s">
        <v>855</v>
      </c>
      <c r="N544" t="s">
        <v>50</v>
      </c>
      <c r="O544" t="s">
        <v>20</v>
      </c>
    </row>
    <row r="545" spans="1:15">
      <c r="A545" s="5" t="str">
        <f t="shared" si="332"/>
        <v>515062</v>
      </c>
      <c r="B545" s="2" t="s">
        <v>871</v>
      </c>
      <c r="C545" s="9">
        <v>2510</v>
      </c>
      <c r="D545" s="9" t="s">
        <v>869</v>
      </c>
      <c r="E545" s="9">
        <v>1</v>
      </c>
      <c r="F545" s="9" t="s">
        <v>204</v>
      </c>
      <c r="G545" s="9" t="s">
        <v>859</v>
      </c>
      <c r="H545" s="9" t="s">
        <v>17</v>
      </c>
      <c r="I545" s="2" t="str">
        <f t="shared" si="329"/>
        <v>25</v>
      </c>
      <c r="J545" s="2" t="str">
        <f t="shared" si="330"/>
        <v>23</v>
      </c>
      <c r="K545" s="1">
        <f t="shared" si="331"/>
        <v>2</v>
      </c>
      <c r="M545" t="s">
        <v>855</v>
      </c>
      <c r="N545" t="s">
        <v>50</v>
      </c>
      <c r="O545" t="s">
        <v>20</v>
      </c>
    </row>
    <row r="546" spans="1:15">
      <c r="A546" s="5" t="str">
        <f t="shared" si="332"/>
        <v>515062</v>
      </c>
      <c r="B546" s="2" t="s">
        <v>872</v>
      </c>
      <c r="C546" s="9">
        <v>2510</v>
      </c>
      <c r="D546" s="9" t="s">
        <v>869</v>
      </c>
      <c r="E546" s="9">
        <v>1</v>
      </c>
      <c r="F546" s="9" t="s">
        <v>150</v>
      </c>
      <c r="G546" s="9" t="s">
        <v>861</v>
      </c>
      <c r="H546" s="9" t="s">
        <v>17</v>
      </c>
      <c r="I546" s="2" t="str">
        <f t="shared" si="329"/>
        <v>24</v>
      </c>
      <c r="J546" s="2" t="str">
        <f t="shared" si="330"/>
        <v>23</v>
      </c>
      <c r="K546" s="1">
        <f t="shared" si="331"/>
        <v>1</v>
      </c>
      <c r="M546" t="s">
        <v>855</v>
      </c>
      <c r="N546" t="s">
        <v>50</v>
      </c>
      <c r="O546" t="s">
        <v>20</v>
      </c>
    </row>
    <row r="547" spans="1:15">
      <c r="A547" s="5" t="str">
        <f t="shared" si="332"/>
        <v>515063</v>
      </c>
      <c r="B547" s="2" t="s">
        <v>873</v>
      </c>
      <c r="C547" s="9">
        <v>2510</v>
      </c>
      <c r="D547" s="9" t="s">
        <v>874</v>
      </c>
      <c r="E547" s="9">
        <v>2</v>
      </c>
      <c r="F547" s="9" t="s">
        <v>204</v>
      </c>
      <c r="G547" s="9" t="s">
        <v>861</v>
      </c>
      <c r="H547" s="9" t="s">
        <v>17</v>
      </c>
      <c r="I547" s="2" t="str">
        <f t="shared" si="329"/>
        <v>25</v>
      </c>
      <c r="J547" s="2" t="str">
        <f t="shared" si="330"/>
        <v>23</v>
      </c>
      <c r="K547" s="1">
        <f t="shared" si="331"/>
        <v>2</v>
      </c>
      <c r="M547" t="s">
        <v>855</v>
      </c>
      <c r="N547" t="s">
        <v>50</v>
      </c>
      <c r="O547" t="s">
        <v>20</v>
      </c>
    </row>
    <row r="548" spans="1:15">
      <c r="A548" s="5" t="str">
        <f t="shared" si="332"/>
        <v>515063</v>
      </c>
      <c r="B548" s="2" t="s">
        <v>875</v>
      </c>
      <c r="C548" s="9">
        <v>2510</v>
      </c>
      <c r="D548" s="9" t="s">
        <v>874</v>
      </c>
      <c r="E548" s="9">
        <v>1</v>
      </c>
      <c r="F548" s="9" t="s">
        <v>150</v>
      </c>
      <c r="G548" s="9" t="s">
        <v>137</v>
      </c>
      <c r="H548" s="9" t="s">
        <v>17</v>
      </c>
      <c r="I548" s="2" t="str">
        <f t="shared" si="329"/>
        <v>24</v>
      </c>
      <c r="J548" s="2" t="str">
        <f t="shared" si="330"/>
        <v>23</v>
      </c>
      <c r="K548" s="1">
        <f t="shared" si="331"/>
        <v>1</v>
      </c>
      <c r="M548" t="s">
        <v>855</v>
      </c>
      <c r="N548" t="s">
        <v>50</v>
      </c>
      <c r="O548" t="s">
        <v>20</v>
      </c>
    </row>
    <row r="549" spans="1:15">
      <c r="A549" s="5" t="str">
        <f t="shared" si="332"/>
        <v>515064</v>
      </c>
      <c r="B549" s="2" t="s">
        <v>876</v>
      </c>
      <c r="C549" s="9">
        <v>2510</v>
      </c>
      <c r="D549" s="9" t="s">
        <v>877</v>
      </c>
      <c r="E549" s="9">
        <v>12</v>
      </c>
      <c r="F549" s="9" t="s">
        <v>204</v>
      </c>
      <c r="G549" s="9" t="s">
        <v>864</v>
      </c>
      <c r="H549" s="9" t="s">
        <v>17</v>
      </c>
      <c r="I549" s="2" t="str">
        <f t="shared" si="329"/>
        <v>25</v>
      </c>
      <c r="J549" s="2" t="str">
        <f t="shared" si="330"/>
        <v>23</v>
      </c>
      <c r="K549" s="1">
        <f t="shared" si="331"/>
        <v>2</v>
      </c>
      <c r="M549" t="s">
        <v>855</v>
      </c>
      <c r="N549" t="s">
        <v>50</v>
      </c>
      <c r="O549" t="s">
        <v>20</v>
      </c>
    </row>
    <row r="550" spans="1:15">
      <c r="A550" s="5" t="str">
        <f t="shared" si="332"/>
        <v>515064</v>
      </c>
      <c r="B550" s="2" t="s">
        <v>878</v>
      </c>
      <c r="C550" s="9">
        <v>2510</v>
      </c>
      <c r="D550" s="9" t="s">
        <v>877</v>
      </c>
      <c r="E550" s="9">
        <v>2</v>
      </c>
      <c r="F550" s="9" t="s">
        <v>150</v>
      </c>
      <c r="G550" s="9" t="s">
        <v>859</v>
      </c>
      <c r="H550" s="9" t="s">
        <v>17</v>
      </c>
      <c r="I550" s="2" t="str">
        <f t="shared" si="329"/>
        <v>24</v>
      </c>
      <c r="J550" s="2" t="str">
        <f t="shared" si="330"/>
        <v>23</v>
      </c>
      <c r="K550" s="1">
        <f t="shared" si="331"/>
        <v>1</v>
      </c>
      <c r="M550" t="s">
        <v>855</v>
      </c>
      <c r="N550" t="s">
        <v>50</v>
      </c>
      <c r="O550" t="s">
        <v>20</v>
      </c>
    </row>
    <row r="551" spans="1:15">
      <c r="A551" s="5" t="str">
        <f t="shared" si="332"/>
        <v>515064</v>
      </c>
      <c r="B551" s="2" t="s">
        <v>879</v>
      </c>
      <c r="C551" s="9">
        <v>2510</v>
      </c>
      <c r="D551" s="9" t="s">
        <v>877</v>
      </c>
      <c r="E551" s="9">
        <v>1</v>
      </c>
      <c r="F551" s="9" t="s">
        <v>204</v>
      </c>
      <c r="G551" s="9" t="s">
        <v>861</v>
      </c>
      <c r="H551" s="9" t="s">
        <v>17</v>
      </c>
      <c r="I551" s="2" t="str">
        <f t="shared" si="329"/>
        <v>25</v>
      </c>
      <c r="J551" s="2" t="str">
        <f t="shared" si="330"/>
        <v>23</v>
      </c>
      <c r="K551" s="1">
        <f t="shared" si="331"/>
        <v>2</v>
      </c>
      <c r="M551" t="s">
        <v>855</v>
      </c>
      <c r="N551" t="s">
        <v>50</v>
      </c>
      <c r="O551" t="s">
        <v>20</v>
      </c>
    </row>
    <row r="552" spans="1:15">
      <c r="A552" s="5" t="str">
        <f t="shared" si="332"/>
        <v>515064</v>
      </c>
      <c r="B552" s="2" t="s">
        <v>880</v>
      </c>
      <c r="C552" s="9">
        <v>2510</v>
      </c>
      <c r="D552" s="9" t="s">
        <v>877</v>
      </c>
      <c r="E552" s="9">
        <v>1</v>
      </c>
      <c r="F552" s="9" t="s">
        <v>150</v>
      </c>
      <c r="G552" s="9" t="s">
        <v>137</v>
      </c>
      <c r="H552" s="9" t="s">
        <v>17</v>
      </c>
      <c r="I552" s="2" t="str">
        <f t="shared" si="329"/>
        <v>24</v>
      </c>
      <c r="J552" s="2" t="str">
        <f t="shared" si="330"/>
        <v>23</v>
      </c>
      <c r="K552" s="1">
        <f t="shared" si="331"/>
        <v>1</v>
      </c>
      <c r="M552" t="s">
        <v>855</v>
      </c>
      <c r="N552" t="s">
        <v>50</v>
      </c>
      <c r="O552" t="s">
        <v>20</v>
      </c>
    </row>
    <row r="553" spans="1:15">
      <c r="A553" s="5" t="str">
        <f t="shared" si="332"/>
        <v>515065</v>
      </c>
      <c r="B553" s="2" t="s">
        <v>881</v>
      </c>
      <c r="C553" s="9">
        <v>2510</v>
      </c>
      <c r="D553" s="9" t="s">
        <v>882</v>
      </c>
      <c r="E553" s="9">
        <v>10</v>
      </c>
      <c r="F553" s="9" t="s">
        <v>204</v>
      </c>
      <c r="G553" s="9" t="s">
        <v>137</v>
      </c>
      <c r="H553" s="9" t="s">
        <v>17</v>
      </c>
      <c r="I553" s="2" t="str">
        <f t="shared" si="329"/>
        <v>25</v>
      </c>
      <c r="J553" s="2" t="str">
        <f t="shared" si="330"/>
        <v>23</v>
      </c>
      <c r="K553" s="1">
        <f t="shared" si="331"/>
        <v>2</v>
      </c>
      <c r="M553" t="s">
        <v>855</v>
      </c>
      <c r="N553" t="s">
        <v>50</v>
      </c>
      <c r="O553" t="s">
        <v>20</v>
      </c>
    </row>
    <row r="554" spans="1:15">
      <c r="A554" s="5" t="str">
        <f t="shared" si="332"/>
        <v>515065</v>
      </c>
      <c r="B554" s="2" t="s">
        <v>883</v>
      </c>
      <c r="C554" s="9">
        <v>2510</v>
      </c>
      <c r="D554" s="9" t="s">
        <v>882</v>
      </c>
      <c r="E554" s="9">
        <v>2</v>
      </c>
      <c r="F554" s="9" t="s">
        <v>150</v>
      </c>
      <c r="G554" s="9" t="s">
        <v>137</v>
      </c>
      <c r="H554" s="9" t="s">
        <v>17</v>
      </c>
      <c r="I554" s="2" t="str">
        <f t="shared" si="329"/>
        <v>24</v>
      </c>
      <c r="J554" s="2" t="str">
        <f t="shared" si="330"/>
        <v>23</v>
      </c>
      <c r="K554" s="1">
        <f t="shared" si="331"/>
        <v>1</v>
      </c>
      <c r="M554" t="s">
        <v>855</v>
      </c>
      <c r="N554" t="s">
        <v>50</v>
      </c>
      <c r="O554" t="s">
        <v>20</v>
      </c>
    </row>
    <row r="555" spans="1:15">
      <c r="A555" s="5" t="str">
        <f t="shared" si="332"/>
        <v>515065</v>
      </c>
      <c r="B555" s="2" t="s">
        <v>884</v>
      </c>
      <c r="C555" s="9">
        <v>2510</v>
      </c>
      <c r="D555" s="9" t="s">
        <v>882</v>
      </c>
      <c r="E555" s="9">
        <v>1</v>
      </c>
      <c r="F555" s="9" t="s">
        <v>204</v>
      </c>
      <c r="G555" s="9" t="s">
        <v>137</v>
      </c>
      <c r="H555" s="9" t="s">
        <v>17</v>
      </c>
      <c r="I555" s="2" t="str">
        <f t="shared" si="329"/>
        <v>25</v>
      </c>
      <c r="J555" s="2" t="str">
        <f t="shared" si="330"/>
        <v>23</v>
      </c>
      <c r="K555" s="1">
        <f t="shared" si="331"/>
        <v>2</v>
      </c>
      <c r="M555" t="s">
        <v>855</v>
      </c>
      <c r="N555" t="s">
        <v>50</v>
      </c>
      <c r="O555" t="s">
        <v>20</v>
      </c>
    </row>
    <row r="556" spans="1:15">
      <c r="A556" s="5" t="str">
        <f t="shared" si="332"/>
        <v>515065</v>
      </c>
      <c r="B556" s="2" t="s">
        <v>885</v>
      </c>
      <c r="C556" s="9">
        <v>2510</v>
      </c>
      <c r="D556" s="9" t="s">
        <v>882</v>
      </c>
      <c r="E556" s="9">
        <v>2</v>
      </c>
      <c r="F556" s="9" t="s">
        <v>150</v>
      </c>
      <c r="G556" s="9" t="s">
        <v>137</v>
      </c>
      <c r="H556" s="9" t="s">
        <v>17</v>
      </c>
      <c r="I556" s="2" t="str">
        <f t="shared" si="329"/>
        <v>24</v>
      </c>
      <c r="J556" s="2" t="str">
        <f t="shared" si="330"/>
        <v>23</v>
      </c>
      <c r="K556" s="1">
        <f t="shared" si="331"/>
        <v>1</v>
      </c>
      <c r="M556" t="s">
        <v>855</v>
      </c>
      <c r="N556" t="s">
        <v>50</v>
      </c>
      <c r="O556" t="s">
        <v>20</v>
      </c>
    </row>
    <row r="557" spans="1:15">
      <c r="A557" s="5" t="str">
        <f t="shared" si="332"/>
        <v>515071</v>
      </c>
      <c r="B557" s="2" t="s">
        <v>886</v>
      </c>
      <c r="C557" s="9">
        <v>2510</v>
      </c>
      <c r="D557" s="9" t="s">
        <v>887</v>
      </c>
      <c r="E557" s="9">
        <v>6</v>
      </c>
      <c r="F557" s="9" t="s">
        <v>204</v>
      </c>
      <c r="G557" s="9" t="s">
        <v>859</v>
      </c>
      <c r="H557" s="9" t="s">
        <v>17</v>
      </c>
      <c r="I557" s="2" t="str">
        <f t="shared" si="329"/>
        <v>25</v>
      </c>
      <c r="J557" s="2" t="str">
        <f t="shared" si="330"/>
        <v>23</v>
      </c>
      <c r="K557" s="1">
        <f t="shared" si="331"/>
        <v>2</v>
      </c>
      <c r="M557" t="s">
        <v>855</v>
      </c>
      <c r="N557" t="s">
        <v>50</v>
      </c>
      <c r="O557" t="s">
        <v>20</v>
      </c>
    </row>
    <row r="558" spans="1:15">
      <c r="A558" s="5" t="str">
        <f t="shared" si="332"/>
        <v>515071</v>
      </c>
      <c r="B558" s="2" t="s">
        <v>888</v>
      </c>
      <c r="C558" s="9">
        <v>2510</v>
      </c>
      <c r="D558" s="9" t="s">
        <v>887</v>
      </c>
      <c r="E558" s="9">
        <v>1</v>
      </c>
      <c r="F558" s="9" t="s">
        <v>150</v>
      </c>
      <c r="G558" s="9" t="s">
        <v>861</v>
      </c>
      <c r="H558" s="9" t="s">
        <v>17</v>
      </c>
      <c r="I558" s="2" t="str">
        <f t="shared" si="329"/>
        <v>24</v>
      </c>
      <c r="J558" s="2" t="str">
        <f t="shared" si="330"/>
        <v>23</v>
      </c>
      <c r="K558" s="1">
        <f t="shared" si="331"/>
        <v>1</v>
      </c>
      <c r="M558" t="s">
        <v>855</v>
      </c>
      <c r="N558" t="s">
        <v>50</v>
      </c>
      <c r="O558" t="s">
        <v>20</v>
      </c>
    </row>
    <row r="559" spans="1:15">
      <c r="A559" s="5" t="str">
        <f t="shared" si="332"/>
        <v>515071</v>
      </c>
      <c r="B559" s="2" t="s">
        <v>889</v>
      </c>
      <c r="C559" s="9">
        <v>2510</v>
      </c>
      <c r="D559" s="9" t="s">
        <v>887</v>
      </c>
      <c r="E559" s="9">
        <v>1</v>
      </c>
      <c r="F559" s="9" t="s">
        <v>150</v>
      </c>
      <c r="G559" s="9" t="s">
        <v>137</v>
      </c>
      <c r="H559" s="9" t="s">
        <v>17</v>
      </c>
      <c r="I559" s="2" t="str">
        <f t="shared" si="329"/>
        <v>24</v>
      </c>
      <c r="J559" s="2" t="str">
        <f t="shared" si="330"/>
        <v>23</v>
      </c>
      <c r="K559" s="1">
        <f t="shared" si="331"/>
        <v>1</v>
      </c>
      <c r="M559" t="s">
        <v>855</v>
      </c>
      <c r="N559" t="s">
        <v>50</v>
      </c>
      <c r="O559" t="s">
        <v>20</v>
      </c>
    </row>
    <row r="560" spans="1:15">
      <c r="A560" s="5" t="str">
        <f t="shared" si="332"/>
        <v>515072</v>
      </c>
      <c r="B560" s="2" t="s">
        <v>890</v>
      </c>
      <c r="C560" s="9">
        <v>2510</v>
      </c>
      <c r="D560" s="9" t="s">
        <v>891</v>
      </c>
      <c r="E560" s="9">
        <v>2</v>
      </c>
      <c r="F560" s="9" t="s">
        <v>204</v>
      </c>
      <c r="G560" s="9" t="s">
        <v>864</v>
      </c>
      <c r="H560" s="9" t="s">
        <v>17</v>
      </c>
      <c r="I560" s="2" t="str">
        <f t="shared" si="329"/>
        <v>25</v>
      </c>
      <c r="J560" s="2" t="str">
        <f t="shared" si="330"/>
        <v>23</v>
      </c>
      <c r="K560" s="1">
        <f t="shared" si="331"/>
        <v>2</v>
      </c>
      <c r="M560" t="s">
        <v>855</v>
      </c>
      <c r="N560" t="s">
        <v>50</v>
      </c>
      <c r="O560" t="s">
        <v>20</v>
      </c>
    </row>
    <row r="561" spans="1:25">
      <c r="A561" s="5" t="str">
        <f t="shared" si="332"/>
        <v>515072</v>
      </c>
      <c r="B561" s="2" t="s">
        <v>892</v>
      </c>
      <c r="C561" s="9">
        <v>2510</v>
      </c>
      <c r="D561" s="9" t="s">
        <v>891</v>
      </c>
      <c r="E561" s="9">
        <v>1</v>
      </c>
      <c r="F561" s="9" t="s">
        <v>150</v>
      </c>
      <c r="G561" s="9" t="s">
        <v>857</v>
      </c>
      <c r="H561" s="9" t="s">
        <v>17</v>
      </c>
      <c r="I561" s="2" t="str">
        <f t="shared" si="329"/>
        <v>24</v>
      </c>
      <c r="J561" s="2" t="str">
        <f t="shared" si="330"/>
        <v>23</v>
      </c>
      <c r="K561" s="1">
        <f t="shared" si="331"/>
        <v>1</v>
      </c>
      <c r="M561" t="s">
        <v>855</v>
      </c>
      <c r="N561" t="s">
        <v>50</v>
      </c>
      <c r="O561" t="s">
        <v>20</v>
      </c>
    </row>
    <row r="562" spans="1:25">
      <c r="A562" s="5" t="str">
        <f t="shared" si="332"/>
        <v>515072</v>
      </c>
      <c r="B562" s="2" t="s">
        <v>893</v>
      </c>
      <c r="C562" s="9">
        <v>2510</v>
      </c>
      <c r="D562" s="9" t="s">
        <v>891</v>
      </c>
      <c r="E562" s="9">
        <v>1</v>
      </c>
      <c r="F562" s="9" t="s">
        <v>204</v>
      </c>
      <c r="G562" s="9" t="s">
        <v>859</v>
      </c>
      <c r="H562" s="9" t="s">
        <v>17</v>
      </c>
      <c r="I562" s="2" t="str">
        <f t="shared" si="329"/>
        <v>25</v>
      </c>
      <c r="J562" s="2" t="str">
        <f t="shared" si="330"/>
        <v>23</v>
      </c>
      <c r="K562" s="1">
        <f t="shared" si="331"/>
        <v>2</v>
      </c>
      <c r="M562" t="s">
        <v>855</v>
      </c>
      <c r="N562" t="s">
        <v>50</v>
      </c>
      <c r="O562" t="s">
        <v>20</v>
      </c>
    </row>
    <row r="563" spans="1:25">
      <c r="A563" s="5" t="str">
        <f t="shared" si="332"/>
        <v>515072</v>
      </c>
      <c r="B563" s="2" t="s">
        <v>894</v>
      </c>
      <c r="C563" s="9">
        <v>2510</v>
      </c>
      <c r="D563" s="9" t="s">
        <v>891</v>
      </c>
      <c r="E563" s="9">
        <v>1</v>
      </c>
      <c r="F563" s="9" t="s">
        <v>150</v>
      </c>
      <c r="G563" s="9" t="s">
        <v>861</v>
      </c>
      <c r="H563" s="9" t="s">
        <v>17</v>
      </c>
      <c r="I563" s="2" t="str">
        <f t="shared" si="329"/>
        <v>24</v>
      </c>
      <c r="J563" s="2" t="str">
        <f t="shared" si="330"/>
        <v>23</v>
      </c>
      <c r="K563" s="1">
        <f t="shared" si="331"/>
        <v>1</v>
      </c>
      <c r="M563" t="s">
        <v>855</v>
      </c>
      <c r="N563" t="s">
        <v>50</v>
      </c>
      <c r="O563" t="s">
        <v>20</v>
      </c>
    </row>
    <row r="564" spans="1:25">
      <c r="A564" s="5" t="str">
        <f t="shared" si="332"/>
        <v>525160</v>
      </c>
      <c r="B564" s="2" t="s">
        <v>895</v>
      </c>
      <c r="C564" s="9">
        <v>2510</v>
      </c>
      <c r="D564" s="9" t="s">
        <v>896</v>
      </c>
      <c r="E564" s="9">
        <v>2</v>
      </c>
      <c r="F564" s="9" t="s">
        <v>108</v>
      </c>
      <c r="G564" s="9" t="s">
        <v>81</v>
      </c>
      <c r="H564" s="9" t="s">
        <v>17</v>
      </c>
      <c r="I564" s="2" t="str">
        <f t="shared" si="329"/>
        <v>20</v>
      </c>
      <c r="J564" s="2" t="str">
        <f t="shared" si="330"/>
        <v>18</v>
      </c>
      <c r="K564" s="1">
        <f t="shared" si="331"/>
        <v>2</v>
      </c>
      <c r="M564" t="s">
        <v>18</v>
      </c>
      <c r="N564" t="s">
        <v>19</v>
      </c>
      <c r="O564" t="s">
        <v>20</v>
      </c>
    </row>
    <row r="565" spans="1:25">
      <c r="A565" s="5" t="str">
        <f t="shared" si="332"/>
        <v>525160</v>
      </c>
      <c r="B565" s="2" t="s">
        <v>897</v>
      </c>
      <c r="C565" s="9">
        <v>2510</v>
      </c>
      <c r="D565" s="9" t="s">
        <v>896</v>
      </c>
      <c r="E565" s="9">
        <v>8</v>
      </c>
      <c r="F565" s="9" t="s">
        <v>108</v>
      </c>
      <c r="G565" s="9" t="s">
        <v>81</v>
      </c>
      <c r="H565" s="9" t="s">
        <v>17</v>
      </c>
      <c r="I565" s="2" t="str">
        <f t="shared" si="329"/>
        <v>20</v>
      </c>
      <c r="J565" s="2" t="str">
        <f t="shared" si="330"/>
        <v>18</v>
      </c>
      <c r="K565" s="1">
        <f t="shared" si="331"/>
        <v>2</v>
      </c>
      <c r="M565" t="s">
        <v>18</v>
      </c>
      <c r="N565" t="s">
        <v>19</v>
      </c>
      <c r="O565" t="s">
        <v>20</v>
      </c>
    </row>
    <row r="566" spans="1:25">
      <c r="A566" s="5" t="str">
        <f t="shared" si="332"/>
        <v>525160</v>
      </c>
      <c r="B566" s="2" t="s">
        <v>898</v>
      </c>
      <c r="C566" s="9">
        <v>2510</v>
      </c>
      <c r="D566" s="9" t="s">
        <v>896</v>
      </c>
      <c r="E566" s="9">
        <v>6</v>
      </c>
      <c r="F566" s="9" t="s">
        <v>108</v>
      </c>
      <c r="G566" s="9" t="s">
        <v>81</v>
      </c>
      <c r="H566" s="9" t="s">
        <v>17</v>
      </c>
      <c r="I566" s="2" t="str">
        <f t="shared" si="329"/>
        <v>20</v>
      </c>
      <c r="J566" s="2" t="str">
        <f t="shared" si="330"/>
        <v>18</v>
      </c>
      <c r="K566" s="1">
        <f t="shared" si="331"/>
        <v>2</v>
      </c>
      <c r="M566" t="s">
        <v>18</v>
      </c>
      <c r="N566" t="s">
        <v>19</v>
      </c>
      <c r="O566" t="s">
        <v>20</v>
      </c>
    </row>
    <row r="567" spans="1:25">
      <c r="A567" s="5" t="str">
        <f t="shared" si="332"/>
        <v>525160</v>
      </c>
      <c r="B567" s="2" t="s">
        <v>899</v>
      </c>
      <c r="C567" s="9">
        <v>2510</v>
      </c>
      <c r="D567" s="9" t="s">
        <v>896</v>
      </c>
      <c r="E567" s="9">
        <v>6</v>
      </c>
      <c r="F567" s="9" t="s">
        <v>108</v>
      </c>
      <c r="G567" s="9" t="s">
        <v>81</v>
      </c>
      <c r="H567" s="9" t="s">
        <v>17</v>
      </c>
      <c r="I567" s="2" t="str">
        <f t="shared" si="329"/>
        <v>20</v>
      </c>
      <c r="J567" s="2" t="str">
        <f t="shared" si="330"/>
        <v>18</v>
      </c>
      <c r="K567" s="1">
        <f t="shared" si="331"/>
        <v>2</v>
      </c>
      <c r="M567" t="s">
        <v>18</v>
      </c>
      <c r="N567" t="s">
        <v>19</v>
      </c>
      <c r="O567" t="s">
        <v>20</v>
      </c>
    </row>
    <row r="568" spans="1:25">
      <c r="A568" s="5" t="str">
        <f t="shared" si="332"/>
        <v>497001</v>
      </c>
      <c r="B568" s="2" t="s">
        <v>900</v>
      </c>
      <c r="C568" s="9">
        <v>2510</v>
      </c>
      <c r="D568" s="9" t="s">
        <v>901</v>
      </c>
      <c r="E568" s="9">
        <v>3</v>
      </c>
      <c r="F568" s="9" t="s">
        <v>150</v>
      </c>
      <c r="G568" s="9" t="s">
        <v>902</v>
      </c>
      <c r="H568" s="9" t="s">
        <v>17</v>
      </c>
      <c r="I568" s="2" t="str">
        <f t="shared" ref="I568:I613" si="333">LEFT(F568,2)</f>
        <v>24</v>
      </c>
      <c r="J568" s="2" t="str">
        <f t="shared" ref="J568:J613" si="334">LEFT(G568,2)</f>
        <v>20</v>
      </c>
      <c r="K568" s="1">
        <f t="shared" ref="K568:K613" si="335">I568-J568</f>
        <v>4</v>
      </c>
      <c r="M568" t="s">
        <v>24</v>
      </c>
      <c r="N568" t="s">
        <v>19</v>
      </c>
      <c r="O568" t="s">
        <v>20</v>
      </c>
    </row>
    <row r="569" spans="1:25">
      <c r="A569" s="5" t="str">
        <f t="shared" si="332"/>
        <v>497001</v>
      </c>
      <c r="B569" s="2" t="s">
        <v>903</v>
      </c>
      <c r="C569" s="9">
        <v>2510</v>
      </c>
      <c r="D569" s="9" t="s">
        <v>901</v>
      </c>
      <c r="E569" s="9">
        <v>2</v>
      </c>
      <c r="F569" s="9" t="s">
        <v>204</v>
      </c>
      <c r="G569" s="9" t="s">
        <v>105</v>
      </c>
      <c r="H569" s="9" t="s">
        <v>17</v>
      </c>
      <c r="I569" s="2" t="str">
        <f t="shared" si="333"/>
        <v>25</v>
      </c>
      <c r="J569" s="2" t="str">
        <f t="shared" si="334"/>
        <v>20</v>
      </c>
      <c r="K569" s="1">
        <f t="shared" si="335"/>
        <v>5</v>
      </c>
      <c r="M569" t="s">
        <v>24</v>
      </c>
      <c r="N569" t="s">
        <v>19</v>
      </c>
      <c r="O569" t="s">
        <v>20</v>
      </c>
    </row>
    <row r="570" spans="1:25">
      <c r="A570" s="5" t="str">
        <f t="shared" si="332"/>
        <v>497001</v>
      </c>
      <c r="B570" s="2" t="s">
        <v>904</v>
      </c>
      <c r="C570" s="9">
        <v>2510</v>
      </c>
      <c r="D570" s="9" t="s">
        <v>901</v>
      </c>
      <c r="E570" s="9">
        <v>4</v>
      </c>
      <c r="F570" s="9" t="s">
        <v>150</v>
      </c>
      <c r="G570" s="9" t="s">
        <v>108</v>
      </c>
      <c r="H570" s="9" t="s">
        <v>17</v>
      </c>
      <c r="I570" s="2" t="str">
        <f t="shared" si="333"/>
        <v>24</v>
      </c>
      <c r="J570" s="2" t="str">
        <f t="shared" si="334"/>
        <v>20</v>
      </c>
      <c r="K570" s="1">
        <f t="shared" si="335"/>
        <v>4</v>
      </c>
      <c r="M570" t="s">
        <v>24</v>
      </c>
      <c r="N570" t="s">
        <v>19</v>
      </c>
      <c r="O570" t="s">
        <v>20</v>
      </c>
    </row>
    <row r="571" spans="1:25" ht="15.75" customHeight="1">
      <c r="A571" s="5" t="str">
        <f t="shared" si="332"/>
        <v>500555</v>
      </c>
      <c r="B571" s="1" t="s">
        <v>905</v>
      </c>
      <c r="C571" s="1">
        <v>2510</v>
      </c>
      <c r="D571" s="1" t="s">
        <v>906</v>
      </c>
      <c r="E571" s="1">
        <v>1</v>
      </c>
      <c r="F571" s="1" t="s">
        <v>108</v>
      </c>
      <c r="G571" s="1" t="s">
        <v>108</v>
      </c>
      <c r="H571" s="1" t="s">
        <v>17</v>
      </c>
      <c r="I571" s="2" t="str">
        <f t="shared" si="333"/>
        <v>20</v>
      </c>
      <c r="J571" s="2" t="str">
        <f t="shared" si="334"/>
        <v>20</v>
      </c>
      <c r="K571" s="1">
        <f t="shared" si="335"/>
        <v>0</v>
      </c>
      <c r="L571" s="1"/>
      <c r="M571" t="s">
        <v>91</v>
      </c>
      <c r="N571" t="s">
        <v>19</v>
      </c>
      <c r="O571" t="s">
        <v>20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5" t="str">
        <f t="shared" si="332"/>
        <v>500555</v>
      </c>
      <c r="B572" s="1" t="s">
        <v>907</v>
      </c>
      <c r="C572" s="1">
        <v>2510</v>
      </c>
      <c r="D572" s="1" t="s">
        <v>906</v>
      </c>
      <c r="E572" s="1">
        <v>4</v>
      </c>
      <c r="F572" s="1" t="s">
        <v>108</v>
      </c>
      <c r="G572" s="1" t="s">
        <v>108</v>
      </c>
      <c r="H572" s="1" t="s">
        <v>17</v>
      </c>
      <c r="I572" s="2" t="str">
        <f t="shared" si="333"/>
        <v>20</v>
      </c>
      <c r="J572" s="2" t="str">
        <f t="shared" si="334"/>
        <v>20</v>
      </c>
      <c r="K572" s="1">
        <f t="shared" si="335"/>
        <v>0</v>
      </c>
      <c r="L572" s="1"/>
      <c r="M572" t="s">
        <v>91</v>
      </c>
      <c r="N572" t="s">
        <v>19</v>
      </c>
      <c r="O572" t="s">
        <v>20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5" t="str">
        <f t="shared" si="332"/>
        <v>500555</v>
      </c>
      <c r="B573" s="1" t="s">
        <v>908</v>
      </c>
      <c r="C573" s="1">
        <v>2510</v>
      </c>
      <c r="D573" s="1" t="s">
        <v>906</v>
      </c>
      <c r="E573" s="1">
        <v>4</v>
      </c>
      <c r="F573" s="1" t="s">
        <v>108</v>
      </c>
      <c r="G573" s="1" t="s">
        <v>108</v>
      </c>
      <c r="H573" s="1" t="s">
        <v>17</v>
      </c>
      <c r="I573" s="2" t="str">
        <f t="shared" si="333"/>
        <v>20</v>
      </c>
      <c r="J573" s="2" t="str">
        <f t="shared" si="334"/>
        <v>20</v>
      </c>
      <c r="K573" s="1">
        <f t="shared" si="335"/>
        <v>0</v>
      </c>
      <c r="L573" s="1"/>
      <c r="M573" t="s">
        <v>91</v>
      </c>
      <c r="N573" t="s">
        <v>19</v>
      </c>
      <c r="O573" t="s">
        <v>20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5" t="str">
        <f t="shared" si="332"/>
        <v>500563</v>
      </c>
      <c r="B574" s="1" t="s">
        <v>909</v>
      </c>
      <c r="C574" s="1">
        <v>2510</v>
      </c>
      <c r="D574" s="1" t="s">
        <v>910</v>
      </c>
      <c r="E574" s="1">
        <v>1</v>
      </c>
      <c r="F574" s="1" t="s">
        <v>108</v>
      </c>
      <c r="G574" s="1" t="s">
        <v>108</v>
      </c>
      <c r="H574" s="1" t="s">
        <v>17</v>
      </c>
      <c r="I574" s="2" t="str">
        <f t="shared" si="333"/>
        <v>20</v>
      </c>
      <c r="J574" s="2" t="str">
        <f t="shared" si="334"/>
        <v>20</v>
      </c>
      <c r="K574" s="1">
        <f t="shared" si="335"/>
        <v>0</v>
      </c>
      <c r="L574" s="1"/>
      <c r="M574" t="s">
        <v>91</v>
      </c>
      <c r="N574" t="s">
        <v>19</v>
      </c>
      <c r="O574" t="s">
        <v>20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5" t="str">
        <f t="shared" si="332"/>
        <v>500563</v>
      </c>
      <c r="B575" s="1" t="s">
        <v>911</v>
      </c>
      <c r="C575" s="1">
        <v>2510</v>
      </c>
      <c r="D575" s="1" t="s">
        <v>910</v>
      </c>
      <c r="E575" s="1">
        <v>1</v>
      </c>
      <c r="F575" s="1" t="s">
        <v>108</v>
      </c>
      <c r="G575" s="1" t="s">
        <v>108</v>
      </c>
      <c r="H575" s="1" t="s">
        <v>17</v>
      </c>
      <c r="I575" s="2" t="str">
        <f t="shared" si="333"/>
        <v>20</v>
      </c>
      <c r="J575" s="2" t="str">
        <f t="shared" si="334"/>
        <v>20</v>
      </c>
      <c r="K575" s="1">
        <f t="shared" si="335"/>
        <v>0</v>
      </c>
      <c r="L575" s="1"/>
      <c r="M575" t="s">
        <v>91</v>
      </c>
      <c r="N575" t="s">
        <v>19</v>
      </c>
      <c r="O575" t="s">
        <v>20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5" t="str">
        <f t="shared" si="332"/>
        <v>505245</v>
      </c>
      <c r="B576" t="s">
        <v>912</v>
      </c>
      <c r="C576">
        <v>2601</v>
      </c>
      <c r="D576" t="s">
        <v>913</v>
      </c>
      <c r="E576">
        <v>2</v>
      </c>
      <c r="F576" t="s">
        <v>204</v>
      </c>
      <c r="G576" t="s">
        <v>150</v>
      </c>
      <c r="H576" t="s">
        <v>17</v>
      </c>
      <c r="I576" s="2" t="str">
        <f t="shared" si="333"/>
        <v>25</v>
      </c>
      <c r="J576" s="2" t="str">
        <f t="shared" si="334"/>
        <v>24</v>
      </c>
      <c r="K576" s="1">
        <f t="shared" si="335"/>
        <v>1</v>
      </c>
      <c r="M576" t="s">
        <v>151</v>
      </c>
      <c r="N576" t="s">
        <v>50</v>
      </c>
      <c r="O576" t="s">
        <v>20</v>
      </c>
    </row>
    <row r="577" spans="1:15">
      <c r="A577" s="5" t="str">
        <f t="shared" si="332"/>
        <v>505245</v>
      </c>
      <c r="B577" t="s">
        <v>914</v>
      </c>
      <c r="C577">
        <v>2601</v>
      </c>
      <c r="D577" t="s">
        <v>913</v>
      </c>
      <c r="E577">
        <v>2</v>
      </c>
      <c r="F577" t="s">
        <v>193</v>
      </c>
      <c r="G577" t="s">
        <v>150</v>
      </c>
      <c r="H577" t="s">
        <v>17</v>
      </c>
      <c r="I577" s="2" t="str">
        <f t="shared" si="333"/>
        <v>26</v>
      </c>
      <c r="J577" s="2" t="str">
        <f t="shared" si="334"/>
        <v>24</v>
      </c>
      <c r="K577" s="1">
        <f t="shared" si="335"/>
        <v>2</v>
      </c>
      <c r="M577" t="s">
        <v>151</v>
      </c>
      <c r="N577" t="s">
        <v>50</v>
      </c>
      <c r="O577" t="s">
        <v>20</v>
      </c>
    </row>
    <row r="578" spans="1:15">
      <c r="A578" s="5" t="str">
        <f t="shared" si="332"/>
        <v>505245</v>
      </c>
      <c r="B578" t="s">
        <v>915</v>
      </c>
      <c r="C578">
        <v>2601</v>
      </c>
      <c r="D578" t="s">
        <v>913</v>
      </c>
      <c r="E578">
        <v>2</v>
      </c>
      <c r="F578" t="s">
        <v>193</v>
      </c>
      <c r="G578" t="s">
        <v>150</v>
      </c>
      <c r="H578" t="s">
        <v>17</v>
      </c>
      <c r="I578" s="2" t="str">
        <f t="shared" si="333"/>
        <v>26</v>
      </c>
      <c r="J578" s="2" t="str">
        <f t="shared" si="334"/>
        <v>24</v>
      </c>
      <c r="K578" s="1">
        <f t="shared" si="335"/>
        <v>2</v>
      </c>
      <c r="M578" t="s">
        <v>151</v>
      </c>
      <c r="N578" t="s">
        <v>50</v>
      </c>
      <c r="O578" t="s">
        <v>20</v>
      </c>
    </row>
    <row r="579" spans="1:15">
      <c r="A579" s="5" t="str">
        <f t="shared" ref="A579:A614" si="336">LEFT(B579,6)</f>
        <v>505245</v>
      </c>
      <c r="B579" t="s">
        <v>916</v>
      </c>
      <c r="C579">
        <v>2601</v>
      </c>
      <c r="D579" t="s">
        <v>913</v>
      </c>
      <c r="E579">
        <v>2</v>
      </c>
      <c r="F579" t="s">
        <v>204</v>
      </c>
      <c r="G579" t="s">
        <v>150</v>
      </c>
      <c r="H579" t="s">
        <v>17</v>
      </c>
      <c r="I579" s="2" t="str">
        <f t="shared" si="333"/>
        <v>25</v>
      </c>
      <c r="J579" s="2" t="str">
        <f t="shared" si="334"/>
        <v>24</v>
      </c>
      <c r="K579" s="1">
        <f t="shared" si="335"/>
        <v>1</v>
      </c>
      <c r="M579" t="s">
        <v>151</v>
      </c>
      <c r="N579" t="s">
        <v>50</v>
      </c>
      <c r="O579" t="s">
        <v>20</v>
      </c>
    </row>
    <row r="580" spans="1:15">
      <c r="A580" s="5" t="str">
        <f t="shared" si="336"/>
        <v>500086</v>
      </c>
      <c r="B580" t="s">
        <v>917</v>
      </c>
      <c r="C580">
        <v>2601</v>
      </c>
      <c r="D580" t="s">
        <v>918</v>
      </c>
      <c r="E580">
        <v>2</v>
      </c>
      <c r="F580" t="s">
        <v>193</v>
      </c>
      <c r="G580" t="s">
        <v>204</v>
      </c>
      <c r="H580" t="s">
        <v>17</v>
      </c>
      <c r="I580" s="2" t="str">
        <f t="shared" si="333"/>
        <v>26</v>
      </c>
      <c r="J580" s="2" t="str">
        <f t="shared" si="334"/>
        <v>25</v>
      </c>
      <c r="K580" s="1">
        <f t="shared" si="335"/>
        <v>1</v>
      </c>
      <c r="M580" t="s">
        <v>24</v>
      </c>
      <c r="N580" t="s">
        <v>19</v>
      </c>
      <c r="O580" t="s">
        <v>20</v>
      </c>
    </row>
    <row r="581" spans="1:15">
      <c r="A581" s="5" t="str">
        <f t="shared" si="336"/>
        <v>510976</v>
      </c>
      <c r="B581" t="s">
        <v>919</v>
      </c>
      <c r="C581">
        <v>2601</v>
      </c>
      <c r="D581" t="s">
        <v>920</v>
      </c>
      <c r="E581">
        <v>0.1</v>
      </c>
      <c r="F581" t="s">
        <v>193</v>
      </c>
      <c r="G581" t="s">
        <v>204</v>
      </c>
      <c r="H581" t="s">
        <v>17</v>
      </c>
      <c r="I581" s="2" t="str">
        <f t="shared" si="333"/>
        <v>26</v>
      </c>
      <c r="J581" s="2" t="str">
        <f t="shared" si="334"/>
        <v>25</v>
      </c>
      <c r="K581" s="1">
        <f t="shared" si="335"/>
        <v>1</v>
      </c>
      <c r="M581" t="s">
        <v>24</v>
      </c>
      <c r="N581" t="s">
        <v>19</v>
      </c>
      <c r="O581" t="s">
        <v>20</v>
      </c>
    </row>
    <row r="582" spans="1:15">
      <c r="A582" s="5" t="str">
        <f t="shared" si="336"/>
        <v>510977</v>
      </c>
      <c r="B582" t="s">
        <v>921</v>
      </c>
      <c r="C582">
        <v>2601</v>
      </c>
      <c r="D582" t="s">
        <v>922</v>
      </c>
      <c r="E582">
        <v>0.1</v>
      </c>
      <c r="F582" t="s">
        <v>193</v>
      </c>
      <c r="G582" t="s">
        <v>204</v>
      </c>
      <c r="H582" t="s">
        <v>17</v>
      </c>
      <c r="I582" s="2" t="str">
        <f t="shared" si="333"/>
        <v>26</v>
      </c>
      <c r="J582" s="2" t="str">
        <f t="shared" si="334"/>
        <v>25</v>
      </c>
      <c r="K582" s="1">
        <f t="shared" si="335"/>
        <v>1</v>
      </c>
      <c r="M582" t="s">
        <v>24</v>
      </c>
      <c r="N582" t="s">
        <v>19</v>
      </c>
      <c r="O582" t="s">
        <v>20</v>
      </c>
    </row>
    <row r="583" spans="1:15">
      <c r="A583" s="5" t="str">
        <f t="shared" si="336"/>
        <v>510978</v>
      </c>
      <c r="B583" t="s">
        <v>923</v>
      </c>
      <c r="C583">
        <v>2601</v>
      </c>
      <c r="D583" t="s">
        <v>924</v>
      </c>
      <c r="E583">
        <v>0.1</v>
      </c>
      <c r="F583" t="s">
        <v>193</v>
      </c>
      <c r="G583" t="s">
        <v>204</v>
      </c>
      <c r="H583" t="s">
        <v>17</v>
      </c>
      <c r="I583" s="2" t="str">
        <f t="shared" si="333"/>
        <v>26</v>
      </c>
      <c r="J583" s="2" t="str">
        <f t="shared" si="334"/>
        <v>25</v>
      </c>
      <c r="K583" s="1">
        <f t="shared" si="335"/>
        <v>1</v>
      </c>
      <c r="M583" t="s">
        <v>24</v>
      </c>
      <c r="N583" t="s">
        <v>19</v>
      </c>
      <c r="O583" t="s">
        <v>20</v>
      </c>
    </row>
    <row r="584" spans="1:15">
      <c r="A584" s="5" t="str">
        <f t="shared" si="336"/>
        <v>510979</v>
      </c>
      <c r="B584" t="s">
        <v>925</v>
      </c>
      <c r="C584">
        <v>2601</v>
      </c>
      <c r="D584" t="s">
        <v>926</v>
      </c>
      <c r="E584">
        <v>0.1</v>
      </c>
      <c r="F584" t="s">
        <v>193</v>
      </c>
      <c r="G584" t="s">
        <v>204</v>
      </c>
      <c r="H584" t="s">
        <v>17</v>
      </c>
      <c r="I584" s="2" t="str">
        <f t="shared" si="333"/>
        <v>26</v>
      </c>
      <c r="J584" s="2" t="str">
        <f t="shared" si="334"/>
        <v>25</v>
      </c>
      <c r="K584" s="1">
        <f t="shared" si="335"/>
        <v>1</v>
      </c>
      <c r="M584" t="s">
        <v>24</v>
      </c>
      <c r="N584" t="s">
        <v>19</v>
      </c>
      <c r="O584" t="s">
        <v>20</v>
      </c>
    </row>
    <row r="585" spans="1:15">
      <c r="A585" s="5" t="str">
        <f t="shared" si="336"/>
        <v>510980</v>
      </c>
      <c r="B585" t="s">
        <v>927</v>
      </c>
      <c r="C585">
        <v>2601</v>
      </c>
      <c r="D585" t="s">
        <v>928</v>
      </c>
      <c r="E585">
        <v>0.1</v>
      </c>
      <c r="F585" t="s">
        <v>193</v>
      </c>
      <c r="G585" t="s">
        <v>204</v>
      </c>
      <c r="H585" t="s">
        <v>17</v>
      </c>
      <c r="I585" s="2" t="str">
        <f t="shared" si="333"/>
        <v>26</v>
      </c>
      <c r="J585" s="2" t="str">
        <f t="shared" si="334"/>
        <v>25</v>
      </c>
      <c r="K585" s="1">
        <f t="shared" si="335"/>
        <v>1</v>
      </c>
      <c r="M585" t="s">
        <v>24</v>
      </c>
      <c r="N585" t="s">
        <v>19</v>
      </c>
      <c r="O585" t="s">
        <v>20</v>
      </c>
    </row>
    <row r="586" spans="1:15">
      <c r="A586" s="5" t="str">
        <f t="shared" si="336"/>
        <v>510981</v>
      </c>
      <c r="B586" t="s">
        <v>929</v>
      </c>
      <c r="C586">
        <v>2601</v>
      </c>
      <c r="D586" t="s">
        <v>930</v>
      </c>
      <c r="E586">
        <v>0.1</v>
      </c>
      <c r="F586" t="s">
        <v>193</v>
      </c>
      <c r="G586" t="s">
        <v>204</v>
      </c>
      <c r="H586" t="s">
        <v>17</v>
      </c>
      <c r="I586" s="2" t="str">
        <f t="shared" si="333"/>
        <v>26</v>
      </c>
      <c r="J586" s="2" t="str">
        <f t="shared" si="334"/>
        <v>25</v>
      </c>
      <c r="K586" s="1">
        <f t="shared" si="335"/>
        <v>1</v>
      </c>
      <c r="M586" t="s">
        <v>24</v>
      </c>
      <c r="N586" t="s">
        <v>19</v>
      </c>
      <c r="O586" t="s">
        <v>20</v>
      </c>
    </row>
    <row r="587" spans="1:15">
      <c r="A587" s="5" t="str">
        <f t="shared" si="336"/>
        <v>523316</v>
      </c>
      <c r="B587" t="s">
        <v>931</v>
      </c>
      <c r="C587">
        <v>2601</v>
      </c>
      <c r="D587" t="s">
        <v>932</v>
      </c>
      <c r="E587">
        <v>2</v>
      </c>
      <c r="F587" t="s">
        <v>193</v>
      </c>
      <c r="G587" t="s">
        <v>204</v>
      </c>
      <c r="H587" t="s">
        <v>17</v>
      </c>
      <c r="I587" s="2" t="str">
        <f t="shared" si="333"/>
        <v>26</v>
      </c>
      <c r="J587" s="2" t="str">
        <f t="shared" si="334"/>
        <v>25</v>
      </c>
      <c r="K587" s="1">
        <f t="shared" si="335"/>
        <v>1</v>
      </c>
      <c r="M587" t="s">
        <v>18</v>
      </c>
      <c r="N587" t="s">
        <v>19</v>
      </c>
      <c r="O587" t="s">
        <v>20</v>
      </c>
    </row>
    <row r="588" spans="1:15">
      <c r="A588" s="5" t="str">
        <f t="shared" si="336"/>
        <v>523316</v>
      </c>
      <c r="B588" t="s">
        <v>933</v>
      </c>
      <c r="C588">
        <v>2601</v>
      </c>
      <c r="D588" t="s">
        <v>932</v>
      </c>
      <c r="E588">
        <v>2</v>
      </c>
      <c r="F588" t="s">
        <v>219</v>
      </c>
      <c r="G588" t="s">
        <v>204</v>
      </c>
      <c r="H588" t="s">
        <v>17</v>
      </c>
      <c r="I588" s="2" t="str">
        <f t="shared" si="333"/>
        <v>28</v>
      </c>
      <c r="J588" s="2" t="str">
        <f t="shared" si="334"/>
        <v>25</v>
      </c>
      <c r="K588" s="1">
        <f t="shared" si="335"/>
        <v>3</v>
      </c>
      <c r="M588" t="s">
        <v>18</v>
      </c>
      <c r="N588" t="s">
        <v>19</v>
      </c>
      <c r="O588" t="s">
        <v>20</v>
      </c>
    </row>
    <row r="589" spans="1:15">
      <c r="A589" s="5" t="str">
        <f t="shared" si="336"/>
        <v>523316</v>
      </c>
      <c r="B589" t="s">
        <v>934</v>
      </c>
      <c r="C589">
        <v>2601</v>
      </c>
      <c r="D589" t="s">
        <v>932</v>
      </c>
      <c r="E589">
        <v>1</v>
      </c>
      <c r="F589" t="s">
        <v>193</v>
      </c>
      <c r="G589" t="s">
        <v>204</v>
      </c>
      <c r="H589" t="s">
        <v>17</v>
      </c>
      <c r="I589" s="2" t="str">
        <f t="shared" si="333"/>
        <v>26</v>
      </c>
      <c r="J589" s="2" t="str">
        <f t="shared" si="334"/>
        <v>25</v>
      </c>
      <c r="K589" s="1">
        <f t="shared" si="335"/>
        <v>1</v>
      </c>
      <c r="M589" t="s">
        <v>18</v>
      </c>
      <c r="N589" t="s">
        <v>19</v>
      </c>
      <c r="O589" t="s">
        <v>20</v>
      </c>
    </row>
    <row r="590" spans="1:15" ht="15.75" customHeight="1">
      <c r="A590" s="5" t="str">
        <f t="shared" si="336"/>
        <v>525584</v>
      </c>
      <c r="B590" s="2" t="s">
        <v>935</v>
      </c>
      <c r="C590">
        <v>2601</v>
      </c>
      <c r="D590" t="s">
        <v>936</v>
      </c>
      <c r="E590">
        <v>6</v>
      </c>
      <c r="F590" t="s">
        <v>193</v>
      </c>
      <c r="G590" t="s">
        <v>150</v>
      </c>
      <c r="H590" t="s">
        <v>17</v>
      </c>
      <c r="I590" s="2" t="str">
        <f t="shared" si="333"/>
        <v>26</v>
      </c>
      <c r="J590" s="2" t="str">
        <f t="shared" si="334"/>
        <v>24</v>
      </c>
      <c r="K590" s="1">
        <f t="shared" si="335"/>
        <v>2</v>
      </c>
      <c r="M590" t="s">
        <v>18</v>
      </c>
      <c r="N590" t="s">
        <v>19</v>
      </c>
      <c r="O590" t="s">
        <v>20</v>
      </c>
    </row>
    <row r="591" spans="1:15" ht="15.75" customHeight="1">
      <c r="A591" s="5" t="str">
        <f t="shared" si="336"/>
        <v>525584</v>
      </c>
      <c r="B591" s="2" t="s">
        <v>937</v>
      </c>
      <c r="C591">
        <v>2601</v>
      </c>
      <c r="D591" t="s">
        <v>936</v>
      </c>
      <c r="E591">
        <v>6</v>
      </c>
      <c r="F591" t="s">
        <v>219</v>
      </c>
      <c r="G591" t="s">
        <v>150</v>
      </c>
      <c r="H591" t="s">
        <v>17</v>
      </c>
      <c r="I591" s="2" t="str">
        <f t="shared" si="333"/>
        <v>28</v>
      </c>
      <c r="J591" s="2" t="str">
        <f t="shared" si="334"/>
        <v>24</v>
      </c>
      <c r="K591" s="1">
        <f t="shared" si="335"/>
        <v>4</v>
      </c>
      <c r="M591" t="s">
        <v>18</v>
      </c>
      <c r="N591" t="s">
        <v>19</v>
      </c>
      <c r="O591" t="s">
        <v>20</v>
      </c>
    </row>
    <row r="592" spans="1:15" ht="15.75" customHeight="1">
      <c r="A592" s="5" t="str">
        <f t="shared" si="336"/>
        <v>525584</v>
      </c>
      <c r="B592" s="2" t="s">
        <v>938</v>
      </c>
      <c r="C592">
        <v>2601</v>
      </c>
      <c r="D592" t="s">
        <v>936</v>
      </c>
      <c r="E592">
        <v>6</v>
      </c>
      <c r="F592" t="s">
        <v>193</v>
      </c>
      <c r="G592" t="s">
        <v>150</v>
      </c>
      <c r="H592" t="s">
        <v>17</v>
      </c>
      <c r="I592" s="2" t="str">
        <f t="shared" si="333"/>
        <v>26</v>
      </c>
      <c r="J592" s="2" t="str">
        <f t="shared" si="334"/>
        <v>24</v>
      </c>
      <c r="K592" s="1">
        <f t="shared" si="335"/>
        <v>2</v>
      </c>
      <c r="M592" t="s">
        <v>18</v>
      </c>
      <c r="N592" t="s">
        <v>19</v>
      </c>
      <c r="O592" t="s">
        <v>20</v>
      </c>
    </row>
    <row r="593" spans="1:15" ht="15.75" customHeight="1">
      <c r="A593" s="5" t="str">
        <f t="shared" si="336"/>
        <v>546416</v>
      </c>
      <c r="B593" s="2" t="s">
        <v>939</v>
      </c>
      <c r="C593">
        <v>2601</v>
      </c>
      <c r="D593" t="s">
        <v>940</v>
      </c>
      <c r="E593">
        <v>1</v>
      </c>
      <c r="F593" t="s">
        <v>193</v>
      </c>
      <c r="G593" t="s">
        <v>204</v>
      </c>
      <c r="H593" t="s">
        <v>17</v>
      </c>
      <c r="I593" s="2" t="str">
        <f t="shared" si="333"/>
        <v>26</v>
      </c>
      <c r="J593" s="2" t="str">
        <f t="shared" si="334"/>
        <v>25</v>
      </c>
      <c r="K593" s="1">
        <f t="shared" si="335"/>
        <v>1</v>
      </c>
      <c r="M593" t="s">
        <v>209</v>
      </c>
      <c r="N593" t="s">
        <v>19</v>
      </c>
      <c r="O593" t="s">
        <v>20</v>
      </c>
    </row>
    <row r="594" spans="1:15" ht="15.75" customHeight="1">
      <c r="A594" s="5" t="str">
        <f t="shared" si="336"/>
        <v>546416</v>
      </c>
      <c r="B594" s="2" t="s">
        <v>941</v>
      </c>
      <c r="C594">
        <v>2601</v>
      </c>
      <c r="D594" t="s">
        <v>940</v>
      </c>
      <c r="E594">
        <v>2</v>
      </c>
      <c r="F594" t="s">
        <v>193</v>
      </c>
      <c r="G594" t="s">
        <v>204</v>
      </c>
      <c r="H594" t="s">
        <v>17</v>
      </c>
      <c r="I594" s="2" t="str">
        <f t="shared" si="333"/>
        <v>26</v>
      </c>
      <c r="J594" s="2" t="str">
        <f t="shared" si="334"/>
        <v>25</v>
      </c>
      <c r="K594" s="1">
        <f t="shared" si="335"/>
        <v>1</v>
      </c>
      <c r="M594" t="s">
        <v>209</v>
      </c>
      <c r="N594" t="s">
        <v>19</v>
      </c>
      <c r="O594" t="s">
        <v>20</v>
      </c>
    </row>
    <row r="595" spans="1:15" ht="15.75" customHeight="1">
      <c r="A595" s="5" t="str">
        <f t="shared" si="336"/>
        <v>520792</v>
      </c>
      <c r="B595" s="2" t="s">
        <v>942</v>
      </c>
      <c r="C595">
        <v>2601</v>
      </c>
      <c r="D595" t="s">
        <v>943</v>
      </c>
      <c r="E595">
        <v>2</v>
      </c>
      <c r="F595" t="s">
        <v>193</v>
      </c>
      <c r="G595" t="s">
        <v>150</v>
      </c>
      <c r="H595" t="s">
        <v>17</v>
      </c>
      <c r="I595" s="2" t="str">
        <f t="shared" si="333"/>
        <v>26</v>
      </c>
      <c r="J595" s="2" t="str">
        <f t="shared" si="334"/>
        <v>24</v>
      </c>
      <c r="K595" s="1">
        <f t="shared" si="335"/>
        <v>2</v>
      </c>
      <c r="M595" t="s">
        <v>18</v>
      </c>
      <c r="N595" t="s">
        <v>19</v>
      </c>
      <c r="O595" t="s">
        <v>20</v>
      </c>
    </row>
    <row r="596" spans="1:15" ht="15.75" customHeight="1">
      <c r="A596" s="5" t="str">
        <f t="shared" si="336"/>
        <v>520792</v>
      </c>
      <c r="B596" s="2" t="s">
        <v>944</v>
      </c>
      <c r="C596">
        <v>2601</v>
      </c>
      <c r="D596" t="s">
        <v>943</v>
      </c>
      <c r="E596">
        <v>1</v>
      </c>
      <c r="F596" t="s">
        <v>204</v>
      </c>
      <c r="G596" t="s">
        <v>150</v>
      </c>
      <c r="H596" t="s">
        <v>17</v>
      </c>
      <c r="I596" s="2" t="str">
        <f t="shared" si="333"/>
        <v>25</v>
      </c>
      <c r="J596" s="2" t="str">
        <f t="shared" si="334"/>
        <v>24</v>
      </c>
      <c r="K596" s="1">
        <f t="shared" si="335"/>
        <v>1</v>
      </c>
      <c r="M596" t="s">
        <v>18</v>
      </c>
      <c r="N596" t="s">
        <v>19</v>
      </c>
      <c r="O596" t="s">
        <v>20</v>
      </c>
    </row>
    <row r="597" spans="1:15" ht="15.75" customHeight="1">
      <c r="A597" s="5" t="str">
        <f t="shared" si="336"/>
        <v>520792</v>
      </c>
      <c r="B597" s="2" t="s">
        <v>945</v>
      </c>
      <c r="C597">
        <v>2601</v>
      </c>
      <c r="D597" t="s">
        <v>943</v>
      </c>
      <c r="E597">
        <v>4</v>
      </c>
      <c r="F597" t="s">
        <v>212</v>
      </c>
      <c r="G597" t="s">
        <v>150</v>
      </c>
      <c r="H597" t="s">
        <v>17</v>
      </c>
      <c r="I597" s="2" t="str">
        <f t="shared" si="333"/>
        <v>27</v>
      </c>
      <c r="J597" s="2" t="str">
        <f t="shared" si="334"/>
        <v>24</v>
      </c>
      <c r="K597" s="1">
        <f t="shared" si="335"/>
        <v>3</v>
      </c>
      <c r="M597" t="s">
        <v>18</v>
      </c>
      <c r="N597" t="s">
        <v>19</v>
      </c>
      <c r="O597" t="s">
        <v>20</v>
      </c>
    </row>
    <row r="598" spans="1:15" ht="15.75" customHeight="1">
      <c r="A598" s="5" t="str">
        <f t="shared" si="336"/>
        <v>520792</v>
      </c>
      <c r="B598" s="2" t="s">
        <v>946</v>
      </c>
      <c r="C598">
        <v>2601</v>
      </c>
      <c r="D598" t="s">
        <v>943</v>
      </c>
      <c r="E598">
        <v>2</v>
      </c>
      <c r="F598" t="s">
        <v>193</v>
      </c>
      <c r="G598" t="s">
        <v>150</v>
      </c>
      <c r="H598" t="s">
        <v>17</v>
      </c>
      <c r="I598" s="2" t="str">
        <f t="shared" si="333"/>
        <v>26</v>
      </c>
      <c r="J598" s="2" t="str">
        <f t="shared" si="334"/>
        <v>24</v>
      </c>
      <c r="K598" s="1">
        <f t="shared" si="335"/>
        <v>2</v>
      </c>
      <c r="M598" t="s">
        <v>18</v>
      </c>
      <c r="N598" t="s">
        <v>19</v>
      </c>
      <c r="O598" t="s">
        <v>20</v>
      </c>
    </row>
    <row r="599" spans="1:15" ht="15.75" customHeight="1">
      <c r="A599" s="5" t="str">
        <f t="shared" si="336"/>
        <v>518745</v>
      </c>
      <c r="B599" s="2" t="s">
        <v>947</v>
      </c>
      <c r="C599">
        <v>2601</v>
      </c>
      <c r="D599" t="s">
        <v>948</v>
      </c>
      <c r="E599">
        <v>4</v>
      </c>
      <c r="F599" t="s">
        <v>212</v>
      </c>
      <c r="G599" t="s">
        <v>150</v>
      </c>
      <c r="H599" t="s">
        <v>17</v>
      </c>
      <c r="I599" s="2" t="str">
        <f t="shared" si="333"/>
        <v>27</v>
      </c>
      <c r="J599" s="2" t="str">
        <f t="shared" si="334"/>
        <v>24</v>
      </c>
      <c r="K599" s="1">
        <f t="shared" si="335"/>
        <v>3</v>
      </c>
      <c r="M599" t="s">
        <v>91</v>
      </c>
      <c r="N599" t="s">
        <v>19</v>
      </c>
      <c r="O599" t="s">
        <v>20</v>
      </c>
    </row>
    <row r="600" spans="1:15" ht="15.75" customHeight="1">
      <c r="A600" s="5" t="str">
        <f t="shared" si="336"/>
        <v>518745</v>
      </c>
      <c r="B600" s="2" t="s">
        <v>949</v>
      </c>
      <c r="C600">
        <v>2601</v>
      </c>
      <c r="D600" t="s">
        <v>948</v>
      </c>
      <c r="E600">
        <v>4</v>
      </c>
      <c r="F600" t="s">
        <v>212</v>
      </c>
      <c r="G600" t="s">
        <v>150</v>
      </c>
      <c r="H600" t="s">
        <v>17</v>
      </c>
      <c r="I600" s="2" t="str">
        <f t="shared" si="333"/>
        <v>27</v>
      </c>
      <c r="J600" s="2" t="str">
        <f t="shared" si="334"/>
        <v>24</v>
      </c>
      <c r="K600" s="1">
        <f t="shared" si="335"/>
        <v>3</v>
      </c>
      <c r="M600" t="s">
        <v>91</v>
      </c>
      <c r="N600" t="s">
        <v>19</v>
      </c>
      <c r="O600" t="s">
        <v>20</v>
      </c>
    </row>
    <row r="601" spans="1:15" ht="15.75" customHeight="1">
      <c r="A601" s="5" t="str">
        <f t="shared" si="336"/>
        <v>518745</v>
      </c>
      <c r="B601" s="2" t="s">
        <v>950</v>
      </c>
      <c r="C601">
        <v>2601</v>
      </c>
      <c r="D601" t="s">
        <v>948</v>
      </c>
      <c r="E601">
        <v>4</v>
      </c>
      <c r="F601" t="s">
        <v>193</v>
      </c>
      <c r="G601" t="s">
        <v>150</v>
      </c>
      <c r="H601" t="s">
        <v>17</v>
      </c>
      <c r="I601" s="2" t="str">
        <f t="shared" si="333"/>
        <v>26</v>
      </c>
      <c r="J601" s="2" t="str">
        <f t="shared" si="334"/>
        <v>24</v>
      </c>
      <c r="K601" s="1">
        <f t="shared" si="335"/>
        <v>2</v>
      </c>
      <c r="M601" t="s">
        <v>91</v>
      </c>
      <c r="N601" t="s">
        <v>19</v>
      </c>
      <c r="O601" t="s">
        <v>20</v>
      </c>
    </row>
    <row r="602" spans="1:15" ht="15.75" customHeight="1">
      <c r="A602" s="5" t="str">
        <f t="shared" si="336"/>
        <v>518745</v>
      </c>
      <c r="B602" s="2" t="s">
        <v>951</v>
      </c>
      <c r="C602">
        <v>2601</v>
      </c>
      <c r="D602" t="s">
        <v>948</v>
      </c>
      <c r="E602">
        <v>4</v>
      </c>
      <c r="F602" t="s">
        <v>204</v>
      </c>
      <c r="G602" t="s">
        <v>150</v>
      </c>
      <c r="H602" t="s">
        <v>17</v>
      </c>
      <c r="I602" s="2" t="str">
        <f t="shared" si="333"/>
        <v>25</v>
      </c>
      <c r="J602" s="2" t="str">
        <f t="shared" si="334"/>
        <v>24</v>
      </c>
      <c r="K602" s="1">
        <f t="shared" si="335"/>
        <v>1</v>
      </c>
      <c r="M602" t="s">
        <v>91</v>
      </c>
      <c r="N602" t="s">
        <v>19</v>
      </c>
      <c r="O602" t="s">
        <v>20</v>
      </c>
    </row>
    <row r="603" spans="1:15" ht="15.75" customHeight="1">
      <c r="A603" s="5" t="str">
        <f t="shared" si="336"/>
        <v>518745</v>
      </c>
      <c r="B603" s="2" t="s">
        <v>952</v>
      </c>
      <c r="C603">
        <v>2601</v>
      </c>
      <c r="D603" t="s">
        <v>948</v>
      </c>
      <c r="E603">
        <v>8</v>
      </c>
      <c r="F603" t="s">
        <v>212</v>
      </c>
      <c r="G603" t="s">
        <v>150</v>
      </c>
      <c r="H603" t="s">
        <v>17</v>
      </c>
      <c r="I603" s="2" t="str">
        <f t="shared" si="333"/>
        <v>27</v>
      </c>
      <c r="J603" s="2" t="str">
        <f t="shared" si="334"/>
        <v>24</v>
      </c>
      <c r="K603" s="1">
        <f t="shared" si="335"/>
        <v>3</v>
      </c>
      <c r="M603" t="s">
        <v>91</v>
      </c>
      <c r="N603" t="s">
        <v>19</v>
      </c>
      <c r="O603" t="s">
        <v>20</v>
      </c>
    </row>
    <row r="604" spans="1:15" ht="15.75" customHeight="1">
      <c r="A604" s="5" t="str">
        <f t="shared" si="336"/>
        <v>518745</v>
      </c>
      <c r="B604" s="2" t="s">
        <v>953</v>
      </c>
      <c r="C604">
        <v>2601</v>
      </c>
      <c r="D604" t="s">
        <v>948</v>
      </c>
      <c r="E604">
        <v>6</v>
      </c>
      <c r="F604" t="s">
        <v>193</v>
      </c>
      <c r="G604" t="s">
        <v>150</v>
      </c>
      <c r="H604" t="s">
        <v>17</v>
      </c>
      <c r="I604" s="2" t="str">
        <f t="shared" si="333"/>
        <v>26</v>
      </c>
      <c r="J604" s="2" t="str">
        <f t="shared" si="334"/>
        <v>24</v>
      </c>
      <c r="K604" s="1">
        <f t="shared" si="335"/>
        <v>2</v>
      </c>
      <c r="M604" t="s">
        <v>91</v>
      </c>
      <c r="N604" t="s">
        <v>19</v>
      </c>
      <c r="O604" t="s">
        <v>20</v>
      </c>
    </row>
    <row r="605" spans="1:15" ht="15.75" customHeight="1">
      <c r="A605" s="5" t="str">
        <f t="shared" si="336"/>
        <v>524947</v>
      </c>
      <c r="B605" s="2" t="s">
        <v>954</v>
      </c>
      <c r="C605">
        <v>2601</v>
      </c>
      <c r="D605" t="s">
        <v>955</v>
      </c>
      <c r="E605">
        <v>8</v>
      </c>
      <c r="F605" t="s">
        <v>204</v>
      </c>
      <c r="G605" t="s">
        <v>137</v>
      </c>
      <c r="H605" t="s">
        <v>17</v>
      </c>
      <c r="I605" s="2" t="str">
        <f t="shared" si="333"/>
        <v>25</v>
      </c>
      <c r="J605" s="2" t="str">
        <f t="shared" si="334"/>
        <v>23</v>
      </c>
      <c r="K605" s="1">
        <f t="shared" si="335"/>
        <v>2</v>
      </c>
      <c r="M605" t="s">
        <v>18</v>
      </c>
      <c r="N605" t="s">
        <v>19</v>
      </c>
      <c r="O605" t="s">
        <v>20</v>
      </c>
    </row>
    <row r="606" spans="1:15" ht="15.75" customHeight="1">
      <c r="A606" s="5" t="str">
        <f t="shared" si="336"/>
        <v>524947</v>
      </c>
      <c r="B606" s="2" t="s">
        <v>956</v>
      </c>
      <c r="C606">
        <v>2601</v>
      </c>
      <c r="D606" t="s">
        <v>955</v>
      </c>
      <c r="E606">
        <v>2</v>
      </c>
      <c r="F606" t="s">
        <v>193</v>
      </c>
      <c r="G606" t="s">
        <v>137</v>
      </c>
      <c r="H606" t="s">
        <v>17</v>
      </c>
      <c r="I606" s="2" t="str">
        <f t="shared" si="333"/>
        <v>26</v>
      </c>
      <c r="J606" s="2" t="str">
        <f t="shared" si="334"/>
        <v>23</v>
      </c>
      <c r="K606" s="1">
        <f t="shared" si="335"/>
        <v>3</v>
      </c>
      <c r="M606" t="s">
        <v>18</v>
      </c>
      <c r="N606" t="s">
        <v>19</v>
      </c>
      <c r="O606" t="s">
        <v>20</v>
      </c>
    </row>
    <row r="607" spans="1:15" ht="15.75" customHeight="1">
      <c r="A607" s="5" t="str">
        <f t="shared" si="336"/>
        <v>524947</v>
      </c>
      <c r="B607" s="2" t="s">
        <v>957</v>
      </c>
      <c r="C607">
        <v>2601</v>
      </c>
      <c r="D607" t="s">
        <v>955</v>
      </c>
      <c r="E607">
        <v>2</v>
      </c>
      <c r="F607" t="s">
        <v>204</v>
      </c>
      <c r="G607" t="s">
        <v>137</v>
      </c>
      <c r="H607" t="s">
        <v>17</v>
      </c>
      <c r="I607" s="2" t="str">
        <f t="shared" si="333"/>
        <v>25</v>
      </c>
      <c r="J607" s="2" t="str">
        <f t="shared" si="334"/>
        <v>23</v>
      </c>
      <c r="K607" s="1">
        <f t="shared" si="335"/>
        <v>2</v>
      </c>
      <c r="M607" t="s">
        <v>18</v>
      </c>
      <c r="N607" t="s">
        <v>19</v>
      </c>
      <c r="O607" t="s">
        <v>20</v>
      </c>
    </row>
    <row r="608" spans="1:15" ht="15.75" customHeight="1">
      <c r="A608" s="5" t="str">
        <f t="shared" si="336"/>
        <v>525769</v>
      </c>
      <c r="B608" s="2" t="s">
        <v>958</v>
      </c>
      <c r="C608">
        <v>2601</v>
      </c>
      <c r="D608" t="s">
        <v>959</v>
      </c>
      <c r="E608">
        <v>2</v>
      </c>
      <c r="F608" t="s">
        <v>193</v>
      </c>
      <c r="G608" t="s">
        <v>150</v>
      </c>
      <c r="H608" t="s">
        <v>17</v>
      </c>
      <c r="I608" s="2" t="str">
        <f t="shared" si="333"/>
        <v>26</v>
      </c>
      <c r="J608" s="2" t="str">
        <f t="shared" si="334"/>
        <v>24</v>
      </c>
      <c r="K608" s="1">
        <f t="shared" si="335"/>
        <v>2</v>
      </c>
      <c r="M608" t="s">
        <v>18</v>
      </c>
      <c r="N608" t="s">
        <v>19</v>
      </c>
      <c r="O608" t="s">
        <v>20</v>
      </c>
    </row>
    <row r="609" spans="1:15" ht="15.75" customHeight="1">
      <c r="A609" s="5" t="str">
        <f t="shared" si="336"/>
        <v>525769</v>
      </c>
      <c r="B609" s="2" t="s">
        <v>960</v>
      </c>
      <c r="C609">
        <v>2601</v>
      </c>
      <c r="D609" t="s">
        <v>959</v>
      </c>
      <c r="E609">
        <v>2</v>
      </c>
      <c r="F609" t="s">
        <v>212</v>
      </c>
      <c r="G609" t="s">
        <v>150</v>
      </c>
      <c r="H609" t="s">
        <v>17</v>
      </c>
      <c r="I609" s="2" t="str">
        <f t="shared" si="333"/>
        <v>27</v>
      </c>
      <c r="J609" s="2" t="str">
        <f t="shared" si="334"/>
        <v>24</v>
      </c>
      <c r="K609" s="1">
        <f t="shared" si="335"/>
        <v>3</v>
      </c>
      <c r="M609" t="s">
        <v>18</v>
      </c>
      <c r="N609" t="s">
        <v>19</v>
      </c>
      <c r="O609" t="s">
        <v>20</v>
      </c>
    </row>
    <row r="610" spans="1:15" ht="15.75" customHeight="1">
      <c r="A610" s="5" t="str">
        <f t="shared" si="336"/>
        <v>525769</v>
      </c>
      <c r="B610" s="2" t="s">
        <v>961</v>
      </c>
      <c r="C610">
        <v>2601</v>
      </c>
      <c r="D610" t="s">
        <v>959</v>
      </c>
      <c r="E610">
        <v>2</v>
      </c>
      <c r="F610" t="s">
        <v>212</v>
      </c>
      <c r="G610" t="s">
        <v>150</v>
      </c>
      <c r="H610" t="s">
        <v>17</v>
      </c>
      <c r="I610" s="2" t="str">
        <f t="shared" si="333"/>
        <v>27</v>
      </c>
      <c r="J610" s="2" t="str">
        <f t="shared" si="334"/>
        <v>24</v>
      </c>
      <c r="K610" s="1">
        <f t="shared" si="335"/>
        <v>3</v>
      </c>
      <c r="M610" t="s">
        <v>18</v>
      </c>
      <c r="N610" t="s">
        <v>19</v>
      </c>
      <c r="O610" t="s">
        <v>20</v>
      </c>
    </row>
    <row r="611" spans="1:15" ht="15.75" customHeight="1">
      <c r="A611" s="5" t="str">
        <f t="shared" si="336"/>
        <v>495820</v>
      </c>
      <c r="B611" s="2" t="s">
        <v>962</v>
      </c>
      <c r="C611">
        <v>2601</v>
      </c>
      <c r="D611" t="s">
        <v>963</v>
      </c>
      <c r="E611">
        <v>1</v>
      </c>
      <c r="F611" t="s">
        <v>204</v>
      </c>
      <c r="G611" t="s">
        <v>108</v>
      </c>
      <c r="H611" t="s">
        <v>17</v>
      </c>
      <c r="I611" s="2" t="str">
        <f t="shared" si="333"/>
        <v>25</v>
      </c>
      <c r="J611" s="2" t="str">
        <f t="shared" si="334"/>
        <v>20</v>
      </c>
      <c r="K611" s="1">
        <f t="shared" si="335"/>
        <v>5</v>
      </c>
      <c r="M611" t="s">
        <v>27</v>
      </c>
      <c r="N611" t="s">
        <v>19</v>
      </c>
      <c r="O611" t="s">
        <v>20</v>
      </c>
    </row>
    <row r="612" spans="1:15" ht="15.75" customHeight="1">
      <c r="A612" s="5" t="str">
        <f t="shared" si="336"/>
        <v>495820</v>
      </c>
      <c r="B612" s="2" t="s">
        <v>964</v>
      </c>
      <c r="C612">
        <v>2601</v>
      </c>
      <c r="D612" t="s">
        <v>963</v>
      </c>
      <c r="E612">
        <v>2</v>
      </c>
      <c r="F612" t="s">
        <v>212</v>
      </c>
      <c r="G612" t="s">
        <v>108</v>
      </c>
      <c r="H612" t="s">
        <v>17</v>
      </c>
      <c r="I612" s="2" t="str">
        <f t="shared" si="333"/>
        <v>27</v>
      </c>
      <c r="J612" s="2" t="str">
        <f t="shared" si="334"/>
        <v>20</v>
      </c>
      <c r="K612" s="1">
        <f t="shared" si="335"/>
        <v>7</v>
      </c>
      <c r="M612" t="s">
        <v>27</v>
      </c>
      <c r="N612" t="s">
        <v>19</v>
      </c>
      <c r="O612" t="s">
        <v>20</v>
      </c>
    </row>
    <row r="613" spans="1:15" ht="15.75" customHeight="1">
      <c r="A613" s="5" t="str">
        <f t="shared" si="336"/>
        <v>495820</v>
      </c>
      <c r="B613" s="2" t="s">
        <v>965</v>
      </c>
      <c r="C613">
        <v>2601</v>
      </c>
      <c r="D613" t="s">
        <v>963</v>
      </c>
      <c r="E613">
        <v>3</v>
      </c>
      <c r="F613" t="s">
        <v>212</v>
      </c>
      <c r="G613" t="s">
        <v>108</v>
      </c>
      <c r="H613" t="s">
        <v>17</v>
      </c>
      <c r="I613" s="2" t="str">
        <f t="shared" si="333"/>
        <v>27</v>
      </c>
      <c r="J613" s="2" t="str">
        <f t="shared" si="334"/>
        <v>20</v>
      </c>
      <c r="K613" s="1">
        <f t="shared" si="335"/>
        <v>7</v>
      </c>
      <c r="M613" t="s">
        <v>27</v>
      </c>
      <c r="N613" t="s">
        <v>19</v>
      </c>
      <c r="O613" t="s">
        <v>20</v>
      </c>
    </row>
    <row r="614" spans="1:15" ht="15.75" customHeight="1">
      <c r="A614" s="5" t="str">
        <f t="shared" si="336"/>
        <v>516623</v>
      </c>
      <c r="B614" s="2" t="s">
        <v>481</v>
      </c>
      <c r="C614">
        <v>2510</v>
      </c>
      <c r="D614" t="s">
        <v>478</v>
      </c>
      <c r="E614">
        <v>1</v>
      </c>
      <c r="F614" s="9" t="s">
        <v>204</v>
      </c>
      <c r="G614" s="9" t="s">
        <v>100</v>
      </c>
      <c r="H614" t="s">
        <v>320</v>
      </c>
      <c r="I614" s="2" t="str">
        <f t="shared" ref="I614:I615" si="337">LEFT(F614,2)</f>
        <v>25</v>
      </c>
      <c r="J614" s="2" t="str">
        <f t="shared" ref="J614:J615" si="338">LEFT(G614,2)</f>
        <v>19</v>
      </c>
      <c r="K614" s="1">
        <f t="shared" ref="K614:K615" si="339">I614-J614</f>
        <v>6</v>
      </c>
      <c r="M614" t="s">
        <v>18</v>
      </c>
      <c r="N614" t="s">
        <v>19</v>
      </c>
      <c r="O614" t="s">
        <v>321</v>
      </c>
    </row>
    <row r="615" spans="1:15" ht="15.75" customHeight="1">
      <c r="A615" s="5">
        <v>536855</v>
      </c>
      <c r="B615" s="2"/>
      <c r="C615">
        <v>2601</v>
      </c>
      <c r="D615" t="s">
        <v>966</v>
      </c>
      <c r="F615" s="9" t="s">
        <v>193</v>
      </c>
      <c r="G615" s="9" t="s">
        <v>108</v>
      </c>
      <c r="H615" t="s">
        <v>244</v>
      </c>
      <c r="I615" s="2" t="str">
        <f t="shared" si="337"/>
        <v>26</v>
      </c>
      <c r="J615" s="2" t="str">
        <f t="shared" si="338"/>
        <v>20</v>
      </c>
      <c r="K615" s="1">
        <f t="shared" si="339"/>
        <v>6</v>
      </c>
      <c r="L615" s="9" t="s">
        <v>967</v>
      </c>
    </row>
    <row r="616" spans="1:15" ht="15.75" customHeight="1">
      <c r="B616" s="2"/>
      <c r="I616" s="2"/>
      <c r="J616" s="2"/>
    </row>
    <row r="617" spans="1:15" ht="15.75" customHeight="1">
      <c r="B617" s="2"/>
      <c r="I617" s="2"/>
      <c r="J617" s="2"/>
    </row>
    <row r="618" spans="1:15" ht="15.75" customHeight="1">
      <c r="B618" s="2"/>
      <c r="I618" s="2"/>
      <c r="J618" s="2"/>
    </row>
    <row r="619" spans="1:15" ht="15.75" customHeight="1">
      <c r="B619" s="2"/>
      <c r="I619" s="2"/>
      <c r="J619" s="2"/>
    </row>
    <row r="620" spans="1:15" ht="15.75" customHeight="1">
      <c r="B620" s="2"/>
      <c r="I620" s="2"/>
      <c r="J620" s="2"/>
    </row>
    <row r="621" spans="1:15" ht="15.75" customHeight="1">
      <c r="B621" s="2"/>
      <c r="I621" s="2"/>
      <c r="J621" s="2"/>
    </row>
    <row r="622" spans="1:15" ht="15.75" customHeight="1">
      <c r="B622" s="2"/>
      <c r="I622" s="2"/>
      <c r="J622" s="2"/>
    </row>
    <row r="623" spans="1:15" ht="15.75" customHeight="1">
      <c r="B623" s="2"/>
      <c r="I623" s="2"/>
      <c r="J623" s="2"/>
    </row>
    <row r="624" spans="1:15" ht="15.75" customHeight="1">
      <c r="B624" s="2"/>
      <c r="I624" s="2"/>
      <c r="J624" s="2"/>
    </row>
    <row r="625" spans="2:10" ht="15.75" customHeight="1">
      <c r="B625" s="2"/>
      <c r="I625" s="2"/>
      <c r="J625" s="2"/>
    </row>
    <row r="626" spans="2:10" ht="15.75" customHeight="1">
      <c r="B626" s="2"/>
      <c r="I626" s="2"/>
      <c r="J626" s="2"/>
    </row>
    <row r="627" spans="2:10" ht="15.75" customHeight="1">
      <c r="B627" s="2"/>
      <c r="I627" s="2"/>
      <c r="J627" s="2"/>
    </row>
    <row r="628" spans="2:10" ht="15.75" customHeight="1">
      <c r="B628" s="2"/>
      <c r="I628" s="2"/>
      <c r="J628" s="2"/>
    </row>
    <row r="629" spans="2:10" ht="15.75" customHeight="1">
      <c r="B629" s="2"/>
      <c r="I629" s="2"/>
      <c r="J629" s="2"/>
    </row>
    <row r="630" spans="2:10" ht="15.75" customHeight="1">
      <c r="B630" s="2"/>
      <c r="I630" s="2"/>
      <c r="J630" s="2"/>
    </row>
    <row r="631" spans="2:10" ht="15.75" customHeight="1">
      <c r="B631" s="2"/>
      <c r="I631" s="2"/>
      <c r="J631" s="2"/>
    </row>
    <row r="632" spans="2:10" ht="15.75" customHeight="1">
      <c r="B632" s="2"/>
      <c r="I632" s="2"/>
      <c r="J632" s="2"/>
    </row>
    <row r="633" spans="2:10" ht="15.75" customHeight="1">
      <c r="B633" s="2"/>
      <c r="I633" s="2"/>
      <c r="J633" s="2"/>
    </row>
    <row r="634" spans="2:10" ht="15.75" customHeight="1">
      <c r="B634" s="2"/>
      <c r="I634" s="2"/>
      <c r="J634" s="2"/>
    </row>
    <row r="635" spans="2:10" ht="15.75" customHeight="1">
      <c r="B635" s="2"/>
      <c r="I635" s="2"/>
      <c r="J635" s="2"/>
    </row>
    <row r="636" spans="2:10" ht="15.75" customHeight="1">
      <c r="B636" s="2"/>
      <c r="I636" s="2"/>
      <c r="J636" s="2"/>
    </row>
    <row r="637" spans="2:10" ht="15.75" customHeight="1">
      <c r="B637" s="2"/>
      <c r="I637" s="2"/>
      <c r="J637" s="2"/>
    </row>
    <row r="638" spans="2:10" ht="15.75" customHeight="1">
      <c r="B638" s="2"/>
      <c r="I638" s="2"/>
      <c r="J638" s="2"/>
    </row>
    <row r="639" spans="2:10" ht="15.75" customHeight="1">
      <c r="B639" s="2"/>
      <c r="I639" s="2"/>
      <c r="J639" s="2"/>
    </row>
    <row r="640" spans="2:10" ht="15.75" customHeight="1">
      <c r="B640" s="2"/>
      <c r="I640" s="2"/>
      <c r="J640" s="2"/>
    </row>
    <row r="641" spans="2:10" ht="15.75" customHeight="1">
      <c r="B641" s="2"/>
      <c r="I641" s="2"/>
      <c r="J641" s="2"/>
    </row>
    <row r="642" spans="2:10" ht="15.75" customHeight="1">
      <c r="B642" s="2"/>
      <c r="I642" s="2"/>
      <c r="J642" s="2"/>
    </row>
    <row r="643" spans="2:10" ht="15.75" customHeight="1">
      <c r="B643" s="2"/>
      <c r="I643" s="2"/>
      <c r="J643" s="2"/>
    </row>
    <row r="644" spans="2:10" ht="15.75" customHeight="1">
      <c r="B644" s="2"/>
      <c r="I644" s="2"/>
      <c r="J644" s="2"/>
    </row>
    <row r="645" spans="2:10" ht="15.75" customHeight="1">
      <c r="B645" s="2"/>
      <c r="I645" s="2"/>
      <c r="J645" s="2"/>
    </row>
    <row r="646" spans="2:10" ht="15.75" customHeight="1">
      <c r="B646" s="2"/>
      <c r="I646" s="2"/>
      <c r="J646" s="2"/>
    </row>
    <row r="647" spans="2:10" ht="15.75" customHeight="1">
      <c r="B647" s="2"/>
      <c r="I647" s="2"/>
      <c r="J647" s="2"/>
    </row>
    <row r="648" spans="2:10" ht="15.75" customHeight="1">
      <c r="B648" s="2"/>
      <c r="I648" s="2"/>
      <c r="J648" s="2"/>
    </row>
    <row r="649" spans="2:10" ht="15.75" customHeight="1">
      <c r="B649" s="2"/>
      <c r="I649" s="2"/>
      <c r="J649" s="2"/>
    </row>
    <row r="650" spans="2:10" ht="15.75" customHeight="1">
      <c r="B650" s="2"/>
      <c r="I650" s="2"/>
      <c r="J650" s="2"/>
    </row>
    <row r="651" spans="2:10" ht="15.75" customHeight="1">
      <c r="B651" s="2"/>
      <c r="I651" s="2"/>
      <c r="J651" s="2"/>
    </row>
    <row r="652" spans="2:10" ht="15.75" customHeight="1">
      <c r="B652" s="2"/>
      <c r="I652" s="2"/>
      <c r="J652" s="2"/>
    </row>
    <row r="653" spans="2:10" ht="15.75" customHeight="1">
      <c r="B653" s="2"/>
      <c r="I653" s="2"/>
      <c r="J653" s="2"/>
    </row>
    <row r="654" spans="2:10" ht="15.75" customHeight="1">
      <c r="B654" s="2"/>
      <c r="I654" s="2"/>
      <c r="J654" s="2"/>
    </row>
    <row r="655" spans="2:10" ht="15.75" customHeight="1">
      <c r="B655" s="2"/>
      <c r="I655" s="2"/>
      <c r="J655" s="2"/>
    </row>
    <row r="656" spans="2:10" ht="15.75" customHeight="1">
      <c r="B656" s="2"/>
      <c r="I656" s="2"/>
      <c r="J656" s="2"/>
    </row>
    <row r="657" spans="2:10" ht="15.75" customHeight="1">
      <c r="B657" s="2"/>
      <c r="I657" s="2"/>
      <c r="J657" s="2"/>
    </row>
    <row r="658" spans="2:10" ht="15.75" customHeight="1">
      <c r="B658" s="2"/>
      <c r="I658" s="2"/>
      <c r="J658" s="2"/>
    </row>
    <row r="659" spans="2:10" ht="15.75" customHeight="1">
      <c r="B659" s="2"/>
      <c r="I659" s="2"/>
      <c r="J659" s="2"/>
    </row>
    <row r="660" spans="2:10" ht="15.75" customHeight="1">
      <c r="B660" s="2"/>
      <c r="I660" s="2"/>
      <c r="J660" s="2"/>
    </row>
    <row r="661" spans="2:10" ht="15.75" customHeight="1">
      <c r="B661" s="2"/>
      <c r="I661" s="2"/>
      <c r="J661" s="2"/>
    </row>
    <row r="662" spans="2:10" ht="15.75" customHeight="1">
      <c r="B662" s="2"/>
      <c r="I662" s="2"/>
      <c r="J662" s="2"/>
    </row>
    <row r="663" spans="2:10" ht="15.75" customHeight="1">
      <c r="B663" s="2"/>
      <c r="I663" s="2"/>
      <c r="J663" s="2"/>
    </row>
    <row r="664" spans="2:10" ht="15.75" customHeight="1">
      <c r="B664" s="2"/>
      <c r="I664" s="2"/>
      <c r="J664" s="2"/>
    </row>
    <row r="665" spans="2:10" ht="15.75" customHeight="1">
      <c r="B665" s="2"/>
      <c r="I665" s="2"/>
      <c r="J665" s="2"/>
    </row>
    <row r="666" spans="2:10" ht="15.75" customHeight="1">
      <c r="B666" s="2"/>
      <c r="I666" s="2"/>
      <c r="J666" s="2"/>
    </row>
    <row r="667" spans="2:10" ht="15.75" customHeight="1">
      <c r="B667" s="2"/>
      <c r="I667" s="2"/>
      <c r="J667" s="2"/>
    </row>
    <row r="668" spans="2:10" ht="15.75" customHeight="1">
      <c r="B668" s="2"/>
      <c r="I668" s="2"/>
      <c r="J668" s="2"/>
    </row>
    <row r="669" spans="2:10" ht="15.75" customHeight="1">
      <c r="B669" s="2"/>
      <c r="I669" s="2"/>
      <c r="J669" s="2"/>
    </row>
    <row r="670" spans="2:10" ht="15.75" customHeight="1">
      <c r="B670" s="2"/>
      <c r="I670" s="2"/>
      <c r="J670" s="2"/>
    </row>
    <row r="671" spans="2:10" ht="15.75" customHeight="1">
      <c r="B671" s="2"/>
      <c r="I671" s="2"/>
      <c r="J671" s="2"/>
    </row>
    <row r="672" spans="2:10" ht="15.75" customHeight="1">
      <c r="B672" s="2"/>
      <c r="I672" s="2"/>
      <c r="J672" s="2"/>
    </row>
    <row r="673" spans="2:10" ht="15.75" customHeight="1">
      <c r="B673" s="2"/>
      <c r="I673" s="2"/>
      <c r="J673" s="2"/>
    </row>
    <row r="674" spans="2:10" ht="15.75" customHeight="1">
      <c r="B674" s="2"/>
      <c r="I674" s="2"/>
      <c r="J674" s="2"/>
    </row>
    <row r="675" spans="2:10" ht="15.75" customHeight="1">
      <c r="B675" s="2"/>
      <c r="I675" s="2"/>
      <c r="J675" s="2"/>
    </row>
    <row r="676" spans="2:10" ht="15.75" customHeight="1">
      <c r="B676" s="2"/>
      <c r="I676" s="2"/>
      <c r="J676" s="2"/>
    </row>
    <row r="677" spans="2:10" ht="15.75" customHeight="1">
      <c r="B677" s="2"/>
      <c r="I677" s="2"/>
      <c r="J677" s="2"/>
    </row>
    <row r="678" spans="2:10" ht="15.75" customHeight="1">
      <c r="B678" s="2"/>
      <c r="I678" s="2"/>
      <c r="J678" s="2"/>
    </row>
    <row r="679" spans="2:10" ht="15.75" customHeight="1">
      <c r="B679" s="2"/>
      <c r="I679" s="2"/>
      <c r="J679" s="2"/>
    </row>
    <row r="680" spans="2:10" ht="15.75" customHeight="1">
      <c r="B680" s="2"/>
      <c r="I680" s="2"/>
      <c r="J680" s="2"/>
    </row>
    <row r="681" spans="2:10" ht="15.75" customHeight="1">
      <c r="B681" s="2"/>
      <c r="I681" s="2"/>
      <c r="J681" s="2"/>
    </row>
    <row r="682" spans="2:10" ht="15.75" customHeight="1">
      <c r="B682" s="2"/>
      <c r="I682" s="2"/>
      <c r="J682" s="2"/>
    </row>
    <row r="683" spans="2:10" ht="15.75" customHeight="1">
      <c r="B683" s="2"/>
      <c r="I683" s="2"/>
      <c r="J683" s="2"/>
    </row>
    <row r="684" spans="2:10" ht="15.75" customHeight="1">
      <c r="B684" s="2"/>
      <c r="I684" s="2"/>
      <c r="J684" s="2"/>
    </row>
    <row r="685" spans="2:10" ht="15.75" customHeight="1">
      <c r="B685" s="2"/>
      <c r="I685" s="2"/>
      <c r="J685" s="2"/>
    </row>
    <row r="686" spans="2:10" ht="15.75" customHeight="1">
      <c r="B686" s="2"/>
      <c r="I686" s="2"/>
      <c r="J686" s="2"/>
    </row>
    <row r="687" spans="2:10" ht="15.75" customHeight="1">
      <c r="B687" s="2"/>
      <c r="I687" s="2"/>
      <c r="J687" s="2"/>
    </row>
    <row r="688" spans="2:10" ht="15.75" customHeight="1">
      <c r="B688" s="2"/>
      <c r="I688" s="2"/>
      <c r="J688" s="2"/>
    </row>
    <row r="689" spans="2:10" ht="15.75" customHeight="1">
      <c r="B689" s="2"/>
      <c r="I689" s="2"/>
      <c r="J689" s="2"/>
    </row>
    <row r="690" spans="2:10" ht="15.75" customHeight="1">
      <c r="B690" s="2"/>
      <c r="I690" s="2"/>
      <c r="J690" s="2"/>
    </row>
    <row r="691" spans="2:10" ht="15.75" customHeight="1">
      <c r="B691" s="2"/>
      <c r="I691" s="2"/>
      <c r="J691" s="2"/>
    </row>
    <row r="692" spans="2:10" ht="15.75" customHeight="1">
      <c r="B692" s="2"/>
      <c r="I692" s="2"/>
      <c r="J692" s="2"/>
    </row>
    <row r="693" spans="2:10" ht="15.75" customHeight="1">
      <c r="B693" s="2"/>
      <c r="I693" s="2"/>
      <c r="J693" s="2"/>
    </row>
    <row r="694" spans="2:10" ht="15.75" customHeight="1">
      <c r="B694" s="2"/>
      <c r="I694" s="2"/>
      <c r="J694" s="2"/>
    </row>
    <row r="695" spans="2:10" ht="15.75" customHeight="1">
      <c r="B695" s="2"/>
      <c r="I695" s="2"/>
      <c r="J695" s="2"/>
    </row>
    <row r="696" spans="2:10" ht="15.75" customHeight="1">
      <c r="B696" s="2"/>
      <c r="I696" s="2"/>
      <c r="J696" s="2"/>
    </row>
    <row r="697" spans="2:10" ht="15.75" customHeight="1">
      <c r="B697" s="2"/>
      <c r="I697" s="2"/>
      <c r="J697" s="2"/>
    </row>
    <row r="698" spans="2:10" ht="15.75" customHeight="1">
      <c r="B698" s="2"/>
      <c r="I698" s="2"/>
      <c r="J698" s="2"/>
    </row>
    <row r="699" spans="2:10" ht="15.75" customHeight="1">
      <c r="B699" s="2"/>
      <c r="I699" s="2"/>
      <c r="J699" s="2"/>
    </row>
    <row r="700" spans="2:10" ht="15.75" customHeight="1">
      <c r="B700" s="2"/>
      <c r="I700" s="2"/>
      <c r="J700" s="2"/>
    </row>
    <row r="701" spans="2:10" ht="15.75" customHeight="1">
      <c r="B701" s="2"/>
      <c r="I701" s="2"/>
      <c r="J701" s="2"/>
    </row>
    <row r="702" spans="2:10" ht="15.75" customHeight="1">
      <c r="B702" s="2"/>
      <c r="I702" s="2"/>
      <c r="J702" s="2"/>
    </row>
    <row r="703" spans="2:10" ht="15.75" customHeight="1">
      <c r="B703" s="2"/>
      <c r="I703" s="2"/>
      <c r="J703" s="2"/>
    </row>
    <row r="704" spans="2:10" ht="15.75" customHeight="1">
      <c r="B704" s="2"/>
      <c r="I704" s="2"/>
      <c r="J704" s="2"/>
    </row>
    <row r="705" spans="2:10" ht="15.75" customHeight="1">
      <c r="B705" s="2"/>
      <c r="I705" s="2"/>
      <c r="J705" s="2"/>
    </row>
    <row r="706" spans="2:10" ht="15.75" customHeight="1">
      <c r="B706" s="2"/>
      <c r="I706" s="2"/>
      <c r="J706" s="2"/>
    </row>
    <row r="707" spans="2:10" ht="15.75" customHeight="1">
      <c r="B707" s="2"/>
      <c r="I707" s="2"/>
      <c r="J707" s="2"/>
    </row>
    <row r="708" spans="2:10" ht="15.75" customHeight="1">
      <c r="B708" s="2"/>
      <c r="I708" s="2"/>
      <c r="J708" s="2"/>
    </row>
    <row r="709" spans="2:10" ht="15.75" customHeight="1">
      <c r="B709" s="2"/>
      <c r="I709" s="2"/>
      <c r="J709" s="2"/>
    </row>
    <row r="710" spans="2:10" ht="15.75" customHeight="1">
      <c r="B710" s="2"/>
      <c r="I710" s="2"/>
      <c r="J710" s="2"/>
    </row>
    <row r="711" spans="2:10" ht="15.75" customHeight="1">
      <c r="B711" s="2"/>
      <c r="I711" s="2"/>
      <c r="J711" s="2"/>
    </row>
    <row r="712" spans="2:10" ht="15.75" customHeight="1">
      <c r="B712" s="2"/>
      <c r="I712" s="2"/>
      <c r="J712" s="2"/>
    </row>
    <row r="713" spans="2:10" ht="15.75" customHeight="1">
      <c r="B713" s="2"/>
      <c r="I713" s="2"/>
      <c r="J713" s="2"/>
    </row>
    <row r="714" spans="2:10" ht="15.75" customHeight="1">
      <c r="B714" s="2"/>
      <c r="I714" s="2"/>
      <c r="J714" s="2"/>
    </row>
    <row r="715" spans="2:10" ht="15.75" customHeight="1">
      <c r="B715" s="2"/>
      <c r="I715" s="2"/>
      <c r="J715" s="2"/>
    </row>
    <row r="716" spans="2:10" ht="15.75" customHeight="1">
      <c r="B716" s="2"/>
      <c r="I716" s="2"/>
      <c r="J716" s="2"/>
    </row>
    <row r="717" spans="2:10" ht="15.75" customHeight="1">
      <c r="B717" s="2"/>
      <c r="I717" s="2"/>
      <c r="J717" s="2"/>
    </row>
    <row r="718" spans="2:10" ht="15.75" customHeight="1">
      <c r="B718" s="2"/>
      <c r="I718" s="2"/>
      <c r="J718" s="2"/>
    </row>
    <row r="719" spans="2:10" ht="15.75" customHeight="1">
      <c r="B719" s="2"/>
      <c r="I719" s="2"/>
      <c r="J719" s="2"/>
    </row>
    <row r="720" spans="2:10" ht="15.75" customHeight="1">
      <c r="B720" s="2"/>
      <c r="I720" s="2"/>
      <c r="J720" s="2"/>
    </row>
    <row r="721" spans="2:10" ht="15.75" customHeight="1">
      <c r="B721" s="2"/>
      <c r="I721" s="2"/>
      <c r="J721" s="2"/>
    </row>
    <row r="722" spans="2:10" ht="15.75" customHeight="1">
      <c r="B722" s="2"/>
      <c r="I722" s="2"/>
      <c r="J722" s="2"/>
    </row>
    <row r="723" spans="2:10" ht="15.75" customHeight="1">
      <c r="B723" s="2"/>
      <c r="I723" s="2"/>
      <c r="J723" s="2"/>
    </row>
    <row r="724" spans="2:10" ht="15.75" customHeight="1">
      <c r="B724" s="2"/>
      <c r="I724" s="2"/>
      <c r="J724" s="2"/>
    </row>
    <row r="725" spans="2:10" ht="15.75" customHeight="1">
      <c r="B725" s="2"/>
      <c r="I725" s="2"/>
      <c r="J725" s="2"/>
    </row>
    <row r="726" spans="2:10" ht="15.75" customHeight="1">
      <c r="B726" s="2"/>
      <c r="I726" s="2"/>
      <c r="J726" s="2"/>
    </row>
    <row r="727" spans="2:10" ht="15.75" customHeight="1">
      <c r="B727" s="2"/>
      <c r="I727" s="2"/>
      <c r="J727" s="2"/>
    </row>
    <row r="728" spans="2:10" ht="15.75" customHeight="1">
      <c r="B728" s="2"/>
      <c r="I728" s="2"/>
      <c r="J728" s="2"/>
    </row>
    <row r="729" spans="2:10" ht="15.75" customHeight="1">
      <c r="B729" s="2"/>
      <c r="I729" s="2"/>
      <c r="J729" s="2"/>
    </row>
    <row r="730" spans="2:10" ht="15.75" customHeight="1">
      <c r="B730" s="2"/>
      <c r="I730" s="2"/>
      <c r="J730" s="2"/>
    </row>
    <row r="731" spans="2:10" ht="15.75" customHeight="1">
      <c r="B731" s="2"/>
      <c r="I731" s="2"/>
      <c r="J731" s="2"/>
    </row>
    <row r="732" spans="2:10" ht="15.75" customHeight="1">
      <c r="B732" s="2"/>
      <c r="I732" s="2"/>
      <c r="J732" s="2"/>
    </row>
    <row r="733" spans="2:10" ht="15.75" customHeight="1">
      <c r="B733" s="2"/>
      <c r="I733" s="2"/>
      <c r="J733" s="2"/>
    </row>
    <row r="734" spans="2:10" ht="15.75" customHeight="1">
      <c r="B734" s="2"/>
      <c r="I734" s="2"/>
      <c r="J734" s="2"/>
    </row>
    <row r="735" spans="2:10" ht="15.75" customHeight="1">
      <c r="B735" s="2"/>
      <c r="I735" s="2"/>
      <c r="J735" s="2"/>
    </row>
    <row r="736" spans="2:10" ht="15.75" customHeight="1">
      <c r="B736" s="2"/>
      <c r="I736" s="2"/>
      <c r="J736" s="2"/>
    </row>
    <row r="737" spans="2:10" ht="15.75" customHeight="1">
      <c r="B737" s="2"/>
      <c r="I737" s="2"/>
      <c r="J737" s="2"/>
    </row>
    <row r="738" spans="2:10" ht="15.75" customHeight="1">
      <c r="B738" s="2"/>
      <c r="I738" s="2"/>
      <c r="J738" s="2"/>
    </row>
    <row r="739" spans="2:10" ht="15.75" customHeight="1">
      <c r="B739" s="2"/>
      <c r="I739" s="2"/>
      <c r="J739" s="2"/>
    </row>
    <row r="740" spans="2:10" ht="15.75" customHeight="1">
      <c r="B740" s="2"/>
      <c r="I740" s="2"/>
      <c r="J740" s="2"/>
    </row>
    <row r="741" spans="2:10" ht="15.75" customHeight="1">
      <c r="B741" s="2"/>
      <c r="I741" s="2"/>
      <c r="J741" s="2"/>
    </row>
    <row r="742" spans="2:10" ht="15.75" customHeight="1">
      <c r="B742" s="2"/>
      <c r="I742" s="2"/>
      <c r="J742" s="2"/>
    </row>
    <row r="743" spans="2:10" ht="15.75" customHeight="1">
      <c r="B743" s="2"/>
      <c r="I743" s="2"/>
      <c r="J743" s="2"/>
    </row>
    <row r="744" spans="2:10" ht="15.75" customHeight="1">
      <c r="B744" s="2"/>
      <c r="I744" s="2"/>
      <c r="J744" s="2"/>
    </row>
    <row r="745" spans="2:10" ht="15.75" customHeight="1">
      <c r="B745" s="2"/>
      <c r="I745" s="2"/>
      <c r="J745" s="2"/>
    </row>
    <row r="746" spans="2:10" ht="15.75" customHeight="1">
      <c r="B746" s="2"/>
      <c r="I746" s="2"/>
      <c r="J746" s="2"/>
    </row>
    <row r="747" spans="2:10" ht="15.75" customHeight="1">
      <c r="B747" s="2"/>
      <c r="I747" s="2"/>
      <c r="J747" s="2"/>
    </row>
    <row r="748" spans="2:10" ht="15.75" customHeight="1">
      <c r="B748" s="2"/>
      <c r="I748" s="2"/>
      <c r="J748" s="2"/>
    </row>
    <row r="749" spans="2:10" ht="15.75" customHeight="1">
      <c r="B749" s="2"/>
      <c r="I749" s="2"/>
      <c r="J749" s="2"/>
    </row>
    <row r="750" spans="2:10" ht="15.75" customHeight="1">
      <c r="B750" s="2"/>
      <c r="I750" s="2"/>
      <c r="J750" s="2"/>
    </row>
    <row r="751" spans="2:10" ht="15.75" customHeight="1">
      <c r="B751" s="2"/>
      <c r="I751" s="2"/>
      <c r="J751" s="2"/>
    </row>
    <row r="752" spans="2:10" ht="15.75" customHeight="1">
      <c r="B752" s="2"/>
      <c r="I752" s="2"/>
      <c r="J752" s="2"/>
    </row>
    <row r="753" spans="2:10" ht="15.75" customHeight="1">
      <c r="B753" s="2"/>
      <c r="I753" s="2"/>
      <c r="J753" s="2"/>
    </row>
    <row r="754" spans="2:10" ht="15.75" customHeight="1">
      <c r="B754" s="2"/>
      <c r="I754" s="2"/>
      <c r="J754" s="2"/>
    </row>
    <row r="755" spans="2:10" ht="15.75" customHeight="1">
      <c r="B755" s="2"/>
      <c r="I755" s="2"/>
      <c r="J755" s="2"/>
    </row>
    <row r="756" spans="2:10" ht="15.75" customHeight="1">
      <c r="B756" s="2"/>
      <c r="I756" s="2"/>
      <c r="J756" s="2"/>
    </row>
    <row r="757" spans="2:10" ht="15.75" customHeight="1">
      <c r="B757" s="2"/>
      <c r="I757" s="2"/>
      <c r="J757" s="2"/>
    </row>
    <row r="758" spans="2:10" ht="15.75" customHeight="1">
      <c r="B758" s="2"/>
      <c r="I758" s="2"/>
      <c r="J758" s="2"/>
    </row>
    <row r="759" spans="2:10" ht="15.75" customHeight="1">
      <c r="B759" s="2"/>
      <c r="I759" s="2"/>
      <c r="J759" s="2"/>
    </row>
    <row r="760" spans="2:10" ht="15.75" customHeight="1">
      <c r="B760" s="2"/>
      <c r="I760" s="2"/>
      <c r="J760" s="2"/>
    </row>
    <row r="761" spans="2:10" ht="15.75" customHeight="1">
      <c r="B761" s="2"/>
      <c r="I761" s="2"/>
      <c r="J761" s="2"/>
    </row>
    <row r="762" spans="2:10" ht="15.75" customHeight="1">
      <c r="B762" s="2"/>
      <c r="I762" s="2"/>
      <c r="J762" s="2"/>
    </row>
    <row r="763" spans="2:10" ht="15.75" customHeight="1">
      <c r="B763" s="2"/>
      <c r="I763" s="2"/>
      <c r="J763" s="2"/>
    </row>
    <row r="764" spans="2:10" ht="15.75" customHeight="1">
      <c r="B764" s="2"/>
      <c r="I764" s="2"/>
      <c r="J764" s="2"/>
    </row>
    <row r="765" spans="2:10" ht="15.75" customHeight="1">
      <c r="B765" s="2"/>
      <c r="I765" s="2"/>
      <c r="J765" s="2"/>
    </row>
    <row r="766" spans="2:10" ht="15.75" customHeight="1">
      <c r="B766" s="2"/>
      <c r="I766" s="2"/>
      <c r="J766" s="2"/>
    </row>
    <row r="767" spans="2:10" ht="15.75" customHeight="1">
      <c r="B767" s="2"/>
      <c r="I767" s="2"/>
      <c r="J767" s="2"/>
    </row>
    <row r="768" spans="2:10" ht="15.75" customHeight="1">
      <c r="B768" s="2"/>
      <c r="I768" s="2"/>
      <c r="J768" s="2"/>
    </row>
    <row r="769" spans="2:10" ht="15.75" customHeight="1">
      <c r="B769" s="2"/>
      <c r="I769" s="2"/>
      <c r="J769" s="2"/>
    </row>
    <row r="770" spans="2:10" ht="15.75" customHeight="1">
      <c r="B770" s="2"/>
      <c r="I770" s="2"/>
      <c r="J770" s="2"/>
    </row>
    <row r="771" spans="2:10" ht="15.75" customHeight="1">
      <c r="B771" s="2"/>
      <c r="I771" s="2"/>
      <c r="J771" s="2"/>
    </row>
    <row r="772" spans="2:10" ht="15.75" customHeight="1">
      <c r="B772" s="2"/>
      <c r="I772" s="2"/>
      <c r="J772" s="2"/>
    </row>
    <row r="773" spans="2:10" ht="15.75" customHeight="1">
      <c r="B773" s="2"/>
      <c r="I773" s="2"/>
      <c r="J773" s="2"/>
    </row>
    <row r="774" spans="2:10" ht="15.75" customHeight="1">
      <c r="B774" s="2"/>
      <c r="I774" s="2"/>
      <c r="J774" s="2"/>
    </row>
    <row r="775" spans="2:10" ht="15.75" customHeight="1">
      <c r="B775" s="2"/>
      <c r="I775" s="2"/>
      <c r="J775" s="2"/>
    </row>
    <row r="776" spans="2:10" ht="15.75" customHeight="1">
      <c r="B776" s="2"/>
      <c r="I776" s="2"/>
      <c r="J776" s="2"/>
    </row>
    <row r="777" spans="2:10" ht="15.75" customHeight="1">
      <c r="B777" s="2"/>
      <c r="I777" s="2"/>
      <c r="J777" s="2"/>
    </row>
    <row r="778" spans="2:10" ht="15.75" customHeight="1">
      <c r="B778" s="2"/>
      <c r="I778" s="2"/>
      <c r="J778" s="2"/>
    </row>
    <row r="779" spans="2:10" ht="15.75" customHeight="1">
      <c r="B779" s="2"/>
      <c r="I779" s="2"/>
      <c r="J779" s="2"/>
    </row>
    <row r="780" spans="2:10" ht="15.75" customHeight="1">
      <c r="B780" s="2"/>
      <c r="I780" s="2"/>
      <c r="J780" s="2"/>
    </row>
    <row r="781" spans="2:10" ht="15.75" customHeight="1">
      <c r="B781" s="2"/>
      <c r="I781" s="2"/>
      <c r="J781" s="2"/>
    </row>
    <row r="782" spans="2:10" ht="15.75" customHeight="1">
      <c r="B782" s="2"/>
      <c r="I782" s="2"/>
      <c r="J782" s="2"/>
    </row>
    <row r="783" spans="2:10" ht="15.75" customHeight="1">
      <c r="B783" s="2"/>
      <c r="I783" s="2"/>
      <c r="J783" s="2"/>
    </row>
    <row r="784" spans="2:10" ht="15.75" customHeight="1">
      <c r="B784" s="2"/>
      <c r="I784" s="2"/>
      <c r="J784" s="2"/>
    </row>
    <row r="785" spans="2:10" ht="15.75" customHeight="1">
      <c r="B785" s="2"/>
      <c r="I785" s="2"/>
      <c r="J785" s="2"/>
    </row>
    <row r="786" spans="2:10" ht="15.75" customHeight="1">
      <c r="B786" s="2"/>
      <c r="I786" s="2"/>
      <c r="J786" s="2"/>
    </row>
    <row r="787" spans="2:10" ht="15.75" customHeight="1">
      <c r="B787" s="2"/>
      <c r="I787" s="2"/>
      <c r="J787" s="2"/>
    </row>
    <row r="788" spans="2:10" ht="15.75" customHeight="1">
      <c r="B788" s="2"/>
      <c r="I788" s="2"/>
      <c r="J788" s="2"/>
    </row>
    <row r="789" spans="2:10" ht="15.75" customHeight="1">
      <c r="B789" s="2"/>
      <c r="I789" s="2"/>
      <c r="J789" s="2"/>
    </row>
    <row r="790" spans="2:10" ht="15.75" customHeight="1">
      <c r="B790" s="2"/>
      <c r="I790" s="2"/>
      <c r="J790" s="2"/>
    </row>
    <row r="791" spans="2:10" ht="15.75" customHeight="1">
      <c r="B791" s="2"/>
      <c r="I791" s="2"/>
      <c r="J791" s="2"/>
    </row>
    <row r="792" spans="2:10" ht="15.75" customHeight="1">
      <c r="B792" s="2"/>
      <c r="I792" s="2"/>
      <c r="J792" s="2"/>
    </row>
    <row r="793" spans="2:10" ht="15.75" customHeight="1">
      <c r="B793" s="2"/>
      <c r="I793" s="2"/>
      <c r="J793" s="2"/>
    </row>
    <row r="794" spans="2:10" ht="15.75" customHeight="1">
      <c r="B794" s="2"/>
      <c r="I794" s="2"/>
      <c r="J794" s="2"/>
    </row>
    <row r="795" spans="2:10" ht="15.75" customHeight="1">
      <c r="B795" s="2"/>
      <c r="I795" s="2"/>
      <c r="J795" s="2"/>
    </row>
    <row r="796" spans="2:10" ht="15.75" customHeight="1">
      <c r="B796" s="2"/>
      <c r="I796" s="2"/>
      <c r="J796" s="2"/>
    </row>
    <row r="797" spans="2:10" ht="15.75" customHeight="1">
      <c r="B797" s="2"/>
      <c r="I797" s="2"/>
      <c r="J797" s="2"/>
    </row>
    <row r="798" spans="2:10" ht="15.75" customHeight="1">
      <c r="B798" s="2"/>
      <c r="I798" s="2"/>
      <c r="J798" s="2"/>
    </row>
    <row r="799" spans="2:10" ht="15.75" customHeight="1">
      <c r="B799" s="2"/>
      <c r="I799" s="2"/>
      <c r="J799" s="2"/>
    </row>
    <row r="800" spans="2:10" ht="15.75" customHeight="1">
      <c r="B800" s="2"/>
      <c r="I800" s="2"/>
      <c r="J800" s="2"/>
    </row>
    <row r="801" spans="2:10" ht="15.75" customHeight="1">
      <c r="B801" s="2"/>
      <c r="I801" s="2"/>
      <c r="J801" s="2"/>
    </row>
    <row r="802" spans="2:10" ht="15.75" customHeight="1">
      <c r="B802" s="2"/>
      <c r="I802" s="2"/>
      <c r="J802" s="2"/>
    </row>
    <row r="803" spans="2:10" ht="15.75" customHeight="1">
      <c r="B803" s="2"/>
      <c r="I803" s="2"/>
      <c r="J803" s="2"/>
    </row>
    <row r="804" spans="2:10" ht="15.75" customHeight="1">
      <c r="B804" s="2"/>
      <c r="I804" s="2"/>
      <c r="J804" s="2"/>
    </row>
    <row r="805" spans="2:10" ht="15.75" customHeight="1">
      <c r="B805" s="2"/>
      <c r="I805" s="2"/>
      <c r="J805" s="2"/>
    </row>
    <row r="806" spans="2:10" ht="15.75" customHeight="1">
      <c r="B806" s="2"/>
      <c r="I806" s="2"/>
      <c r="J806" s="2"/>
    </row>
    <row r="807" spans="2:10" ht="15.75" customHeight="1">
      <c r="B807" s="2"/>
      <c r="I807" s="2"/>
      <c r="J807" s="2"/>
    </row>
    <row r="808" spans="2:10" ht="15.75" customHeight="1">
      <c r="B808" s="2"/>
      <c r="I808" s="2"/>
      <c r="J808" s="2"/>
    </row>
    <row r="809" spans="2:10" ht="15.75" customHeight="1">
      <c r="B809" s="2"/>
      <c r="I809" s="2"/>
      <c r="J809" s="2"/>
    </row>
    <row r="810" spans="2:10" ht="15.75" customHeight="1">
      <c r="B810" s="2"/>
      <c r="I810" s="2"/>
      <c r="J810" s="2"/>
    </row>
    <row r="811" spans="2:10" ht="15.75" customHeight="1">
      <c r="B811" s="2"/>
      <c r="I811" s="2"/>
      <c r="J811" s="2"/>
    </row>
    <row r="812" spans="2:10" ht="15.75" customHeight="1">
      <c r="B812" s="2"/>
      <c r="I812" s="2"/>
      <c r="J812" s="2"/>
    </row>
    <row r="813" spans="2:10" ht="15.75" customHeight="1">
      <c r="B813" s="2"/>
      <c r="I813" s="2"/>
      <c r="J813" s="2"/>
    </row>
    <row r="814" spans="2:10" ht="15.75" customHeight="1">
      <c r="B814" s="2"/>
      <c r="I814" s="2"/>
      <c r="J814" s="2"/>
    </row>
    <row r="815" spans="2:10" ht="15.75" customHeight="1">
      <c r="B815" s="2"/>
      <c r="I815" s="2"/>
      <c r="J815" s="2"/>
    </row>
    <row r="816" spans="2:10" ht="15.75" customHeight="1">
      <c r="B816" s="2"/>
      <c r="I816" s="2"/>
      <c r="J816" s="2"/>
    </row>
    <row r="817" spans="2:10" ht="15.75" customHeight="1">
      <c r="B817" s="2"/>
      <c r="I817" s="2"/>
      <c r="J817" s="2"/>
    </row>
    <row r="818" spans="2:10" ht="15.75" customHeight="1">
      <c r="B818" s="2"/>
      <c r="I818" s="2"/>
      <c r="J818" s="2"/>
    </row>
    <row r="819" spans="2:10" ht="15.75" customHeight="1">
      <c r="B819" s="2"/>
      <c r="I819" s="2"/>
      <c r="J819" s="2"/>
    </row>
    <row r="820" spans="2:10" ht="15.75" customHeight="1">
      <c r="B820" s="2"/>
      <c r="I820" s="2"/>
      <c r="J820" s="2"/>
    </row>
    <row r="821" spans="2:10" ht="15.75" customHeight="1">
      <c r="B821" s="2"/>
      <c r="I821" s="2"/>
      <c r="J821" s="2"/>
    </row>
    <row r="822" spans="2:10" ht="15.75" customHeight="1">
      <c r="B822" s="2"/>
      <c r="I822" s="2"/>
      <c r="J822" s="2"/>
    </row>
    <row r="823" spans="2:10" ht="15.75" customHeight="1">
      <c r="B823" s="2"/>
      <c r="I823" s="2"/>
      <c r="J823" s="2"/>
    </row>
    <row r="824" spans="2:10" ht="15.75" customHeight="1">
      <c r="B824" s="2"/>
      <c r="I824" s="2"/>
      <c r="J824" s="2"/>
    </row>
    <row r="825" spans="2:10" ht="15.75" customHeight="1">
      <c r="B825" s="2"/>
      <c r="I825" s="2"/>
      <c r="J825" s="2"/>
    </row>
    <row r="826" spans="2:10" ht="15.75" customHeight="1">
      <c r="B826" s="2"/>
      <c r="I826" s="2"/>
      <c r="J826" s="2"/>
    </row>
    <row r="827" spans="2:10" ht="15.75" customHeight="1">
      <c r="B827" s="2"/>
      <c r="I827" s="2"/>
      <c r="J827" s="2"/>
    </row>
    <row r="828" spans="2:10" ht="15.75" customHeight="1">
      <c r="B828" s="2"/>
      <c r="I828" s="2"/>
      <c r="J828" s="2"/>
    </row>
    <row r="829" spans="2:10" ht="15.75" customHeight="1">
      <c r="B829" s="2"/>
      <c r="I829" s="2"/>
      <c r="J829" s="2"/>
    </row>
    <row r="830" spans="2:10" ht="15.75" customHeight="1">
      <c r="B830" s="2"/>
      <c r="I830" s="2"/>
      <c r="J830" s="2"/>
    </row>
    <row r="831" spans="2:10" ht="15.75" customHeight="1">
      <c r="B831" s="2"/>
      <c r="I831" s="2"/>
      <c r="J831" s="2"/>
    </row>
    <row r="832" spans="2:10" ht="15.75" customHeight="1">
      <c r="B832" s="2"/>
      <c r="I832" s="2"/>
      <c r="J832" s="2"/>
    </row>
    <row r="833" spans="2:10" ht="15.75" customHeight="1">
      <c r="B833" s="2"/>
      <c r="I833" s="2"/>
      <c r="J833" s="2"/>
    </row>
    <row r="834" spans="2:10" ht="15.75" customHeight="1">
      <c r="B834" s="2"/>
      <c r="I834" s="2"/>
      <c r="J834" s="2"/>
    </row>
    <row r="835" spans="2:10" ht="15.75" customHeight="1">
      <c r="B835" s="2"/>
      <c r="I835" s="2"/>
      <c r="J835" s="2"/>
    </row>
    <row r="836" spans="2:10" ht="15.75" customHeight="1">
      <c r="B836" s="2"/>
      <c r="I836" s="2"/>
      <c r="J836" s="2"/>
    </row>
    <row r="837" spans="2:10" ht="15.75" customHeight="1">
      <c r="B837" s="2"/>
      <c r="I837" s="2"/>
      <c r="J837" s="2"/>
    </row>
    <row r="838" spans="2:10" ht="15.75" customHeight="1">
      <c r="B838" s="2"/>
      <c r="I838" s="2"/>
      <c r="J838" s="2"/>
    </row>
    <row r="839" spans="2:10" ht="15.75" customHeight="1">
      <c r="B839" s="2"/>
      <c r="I839" s="2"/>
      <c r="J839" s="2"/>
    </row>
    <row r="840" spans="2:10" ht="15.75" customHeight="1">
      <c r="B840" s="2"/>
      <c r="I840" s="2"/>
      <c r="J840" s="2"/>
    </row>
    <row r="841" spans="2:10" ht="15.75" customHeight="1">
      <c r="B841" s="2"/>
      <c r="I841" s="2"/>
      <c r="J841" s="2"/>
    </row>
    <row r="842" spans="2:10" ht="15.75" customHeight="1">
      <c r="B842" s="2"/>
      <c r="I842" s="2"/>
      <c r="J842" s="2"/>
    </row>
    <row r="843" spans="2:10" ht="15.75" customHeight="1">
      <c r="B843" s="2"/>
      <c r="I843" s="2"/>
      <c r="J843" s="2"/>
    </row>
    <row r="844" spans="2:10" ht="15.75" customHeight="1">
      <c r="B844" s="2"/>
      <c r="I844" s="2"/>
      <c r="J844" s="2"/>
    </row>
    <row r="845" spans="2:10" ht="15.75" customHeight="1">
      <c r="B845" s="2"/>
      <c r="I845" s="2"/>
      <c r="J845" s="2"/>
    </row>
    <row r="846" spans="2:10" ht="15.75" customHeight="1">
      <c r="B846" s="2"/>
      <c r="I846" s="2"/>
      <c r="J846" s="2"/>
    </row>
    <row r="847" spans="2:10" ht="15.75" customHeight="1">
      <c r="B847" s="2"/>
      <c r="I847" s="2"/>
      <c r="J847" s="2"/>
    </row>
    <row r="848" spans="2:10" ht="15.75" customHeight="1">
      <c r="B848" s="2"/>
      <c r="I848" s="2"/>
      <c r="J848" s="2"/>
    </row>
    <row r="849" spans="2:10" ht="15.75" customHeight="1">
      <c r="B849" s="2"/>
      <c r="I849" s="2"/>
      <c r="J849" s="2"/>
    </row>
    <row r="850" spans="2:10" ht="15.75" customHeight="1">
      <c r="B850" s="2"/>
      <c r="I850" s="2"/>
      <c r="J850" s="2"/>
    </row>
    <row r="851" spans="2:10" ht="15.75" customHeight="1">
      <c r="B851" s="2"/>
      <c r="I851" s="2"/>
      <c r="J851" s="2"/>
    </row>
    <row r="852" spans="2:10" ht="15.75" customHeight="1">
      <c r="B852" s="2"/>
      <c r="I852" s="2"/>
      <c r="J852" s="2"/>
    </row>
    <row r="853" spans="2:10" ht="15.75" customHeight="1">
      <c r="B853" s="2"/>
      <c r="I853" s="2"/>
      <c r="J853" s="2"/>
    </row>
    <row r="854" spans="2:10" ht="15.75" customHeight="1">
      <c r="B854" s="2"/>
      <c r="I854" s="2"/>
      <c r="J854" s="2"/>
    </row>
    <row r="855" spans="2:10" ht="15.75" customHeight="1">
      <c r="B855" s="2"/>
      <c r="I855" s="2"/>
      <c r="J855" s="2"/>
    </row>
    <row r="856" spans="2:10" ht="15.75" customHeight="1">
      <c r="B856" s="2"/>
      <c r="I856" s="2"/>
      <c r="J856" s="2"/>
    </row>
    <row r="857" spans="2:10" ht="15.75" customHeight="1">
      <c r="B857" s="2"/>
      <c r="I857" s="2"/>
      <c r="J857" s="2"/>
    </row>
    <row r="858" spans="2:10" ht="15.75" customHeight="1">
      <c r="B858" s="2"/>
      <c r="I858" s="2"/>
      <c r="J858" s="2"/>
    </row>
    <row r="859" spans="2:10" ht="15.75" customHeight="1">
      <c r="B859" s="2"/>
      <c r="I859" s="2"/>
      <c r="J859" s="2"/>
    </row>
    <row r="860" spans="2:10" ht="15.75" customHeight="1">
      <c r="B860" s="2"/>
      <c r="I860" s="2"/>
      <c r="J860" s="2"/>
    </row>
    <row r="861" spans="2:10" ht="15.75" customHeight="1">
      <c r="B861" s="2"/>
      <c r="I861" s="2"/>
      <c r="J861" s="2"/>
    </row>
    <row r="862" spans="2:10" ht="15.75" customHeight="1">
      <c r="B862" s="2"/>
      <c r="I862" s="2"/>
      <c r="J862" s="2"/>
    </row>
    <row r="863" spans="2:10" ht="15.75" customHeight="1">
      <c r="B863" s="2"/>
      <c r="I863" s="2"/>
      <c r="J863" s="2"/>
    </row>
    <row r="864" spans="2:10" ht="15.75" customHeight="1">
      <c r="B864" s="2"/>
      <c r="I864" s="2"/>
      <c r="J864" s="2"/>
    </row>
    <row r="865" spans="2:10" ht="15.75" customHeight="1">
      <c r="B865" s="2"/>
      <c r="I865" s="2"/>
      <c r="J865" s="2"/>
    </row>
    <row r="866" spans="2:10" ht="15.75" customHeight="1">
      <c r="B866" s="2"/>
      <c r="I866" s="2"/>
      <c r="J866" s="2"/>
    </row>
    <row r="867" spans="2:10" ht="15.75" customHeight="1">
      <c r="B867" s="2"/>
      <c r="I867" s="2"/>
      <c r="J867" s="2"/>
    </row>
    <row r="868" spans="2:10" ht="15.75" customHeight="1">
      <c r="B868" s="2"/>
      <c r="I868" s="2"/>
      <c r="J868" s="2"/>
    </row>
    <row r="869" spans="2:10" ht="15.75" customHeight="1">
      <c r="B869" s="2"/>
      <c r="I869" s="2"/>
      <c r="J869" s="2"/>
    </row>
    <row r="870" spans="2:10" ht="15.75" customHeight="1">
      <c r="B870" s="2"/>
      <c r="I870" s="2"/>
      <c r="J870" s="2"/>
    </row>
    <row r="871" spans="2:10" ht="15.75" customHeight="1">
      <c r="B871" s="2"/>
      <c r="I871" s="2"/>
      <c r="J871" s="2"/>
    </row>
    <row r="872" spans="2:10" ht="15.75" customHeight="1">
      <c r="B872" s="2"/>
      <c r="I872" s="2"/>
      <c r="J872" s="2"/>
    </row>
    <row r="873" spans="2:10" ht="15.75" customHeight="1">
      <c r="B873" s="2"/>
      <c r="I873" s="2"/>
      <c r="J873" s="2"/>
    </row>
    <row r="874" spans="2:10" ht="15.75" customHeight="1">
      <c r="B874" s="2"/>
      <c r="I874" s="2"/>
      <c r="J874" s="2"/>
    </row>
    <row r="875" spans="2:10" ht="15.75" customHeight="1">
      <c r="B875" s="2"/>
      <c r="I875" s="2"/>
      <c r="J875" s="2"/>
    </row>
    <row r="876" spans="2:10" ht="15.75" customHeight="1">
      <c r="B876" s="2"/>
      <c r="I876" s="2"/>
      <c r="J876" s="2"/>
    </row>
    <row r="877" spans="2:10" ht="15.75" customHeight="1">
      <c r="B877" s="2"/>
      <c r="I877" s="2"/>
      <c r="J877" s="2"/>
    </row>
    <row r="878" spans="2:10" ht="15.75" customHeight="1">
      <c r="B878" s="2"/>
      <c r="I878" s="2"/>
      <c r="J878" s="2"/>
    </row>
    <row r="879" spans="2:10" ht="15.75" customHeight="1">
      <c r="B879" s="2"/>
      <c r="I879" s="2"/>
      <c r="J879" s="2"/>
    </row>
    <row r="880" spans="2:10" ht="15.75" customHeight="1">
      <c r="B880" s="2"/>
      <c r="I880" s="2"/>
      <c r="J880" s="2"/>
    </row>
    <row r="881" spans="2:10" ht="15.75" customHeight="1">
      <c r="B881" s="2"/>
      <c r="I881" s="2"/>
      <c r="J881" s="2"/>
    </row>
    <row r="882" spans="2:10" ht="15.75" customHeight="1">
      <c r="B882" s="2"/>
      <c r="I882" s="2"/>
      <c r="J882" s="2"/>
    </row>
    <row r="883" spans="2:10" ht="15.75" customHeight="1">
      <c r="B883" s="2"/>
      <c r="I883" s="2"/>
      <c r="J883" s="2"/>
    </row>
    <row r="884" spans="2:10">
      <c r="B884" s="2"/>
      <c r="I884" s="2"/>
      <c r="J884" s="2"/>
    </row>
    <row r="885" spans="2:10">
      <c r="B885" s="2"/>
      <c r="I885" s="2"/>
      <c r="J885" s="2"/>
    </row>
    <row r="886" spans="2:10">
      <c r="B886" s="2"/>
      <c r="I886" s="2"/>
      <c r="J886" s="2"/>
    </row>
    <row r="887" spans="2:10">
      <c r="B887" s="2"/>
      <c r="I887" s="2"/>
      <c r="J887" s="2"/>
    </row>
    <row r="888" spans="2:10">
      <c r="B888" s="2"/>
      <c r="I888" s="2"/>
      <c r="J888" s="2"/>
    </row>
    <row r="889" spans="2:10">
      <c r="B889" s="2"/>
      <c r="I889" s="2"/>
      <c r="J889" s="2"/>
    </row>
    <row r="890" spans="2:10">
      <c r="B890" s="2"/>
      <c r="I890" s="2"/>
      <c r="J890" s="2"/>
    </row>
    <row r="891" spans="2:10">
      <c r="B891" s="2"/>
      <c r="I891" s="2"/>
      <c r="J891" s="2"/>
    </row>
    <row r="892" spans="2:10">
      <c r="B892" s="2"/>
      <c r="I892" s="2"/>
      <c r="J892" s="2"/>
    </row>
    <row r="893" spans="2:10">
      <c r="B893" s="2"/>
      <c r="I893" s="2"/>
      <c r="J893" s="2"/>
    </row>
    <row r="894" spans="2:10">
      <c r="B894" s="2"/>
      <c r="I894" s="2"/>
      <c r="J894" s="2"/>
    </row>
    <row r="895" spans="2:10">
      <c r="B895" s="2"/>
      <c r="I895" s="2"/>
      <c r="J895" s="2"/>
    </row>
    <row r="896" spans="2:10">
      <c r="B896" s="2"/>
      <c r="I896" s="2"/>
      <c r="J896" s="2"/>
    </row>
    <row r="897" spans="2:10">
      <c r="B897" s="2"/>
      <c r="I897" s="2"/>
      <c r="J897" s="2"/>
    </row>
    <row r="898" spans="2:10">
      <c r="B898" s="2"/>
      <c r="I898" s="2"/>
      <c r="J898" s="2"/>
    </row>
    <row r="899" spans="2:10">
      <c r="B899" s="2"/>
      <c r="I899" s="2"/>
      <c r="J899" s="2"/>
    </row>
    <row r="900" spans="2:10">
      <c r="B900" s="2"/>
      <c r="I900" s="2"/>
      <c r="J900" s="2"/>
    </row>
    <row r="901" spans="2:10">
      <c r="B901" s="2"/>
      <c r="I901" s="2"/>
      <c r="J901" s="2"/>
    </row>
    <row r="902" spans="2:10">
      <c r="B902" s="2"/>
      <c r="I902" s="2"/>
      <c r="J902" s="2"/>
    </row>
    <row r="903" spans="2:10">
      <c r="B903" s="2"/>
      <c r="I903" s="2"/>
      <c r="J903" s="2"/>
    </row>
    <row r="904" spans="2:10">
      <c r="B904" s="2"/>
      <c r="I904" s="2"/>
      <c r="J904" s="2"/>
    </row>
    <row r="905" spans="2:10">
      <c r="B905" s="2"/>
      <c r="I905" s="2"/>
      <c r="J905" s="2"/>
    </row>
    <row r="906" spans="2:10">
      <c r="B906" s="2"/>
      <c r="I906" s="2"/>
      <c r="J906" s="2"/>
    </row>
    <row r="907" spans="2:10">
      <c r="B907" s="2"/>
      <c r="I907" s="2"/>
      <c r="J907" s="2"/>
    </row>
    <row r="908" spans="2:10">
      <c r="B908" s="2"/>
      <c r="I908" s="2"/>
      <c r="J908" s="2"/>
    </row>
    <row r="909" spans="2:10">
      <c r="B909" s="2"/>
      <c r="I909" s="2"/>
      <c r="J909" s="2"/>
    </row>
    <row r="910" spans="2:10">
      <c r="B910" s="2"/>
      <c r="I910" s="2"/>
      <c r="J910" s="2"/>
    </row>
    <row r="911" spans="2:10">
      <c r="B911" s="2"/>
      <c r="I911" s="2"/>
      <c r="J911" s="2"/>
    </row>
    <row r="912" spans="2:10">
      <c r="B912" s="2"/>
      <c r="I912" s="2"/>
      <c r="J912" s="2"/>
    </row>
    <row r="913" spans="2:10">
      <c r="B913" s="2"/>
      <c r="I913" s="2"/>
      <c r="J913" s="2"/>
    </row>
    <row r="914" spans="2:10">
      <c r="B914" s="2"/>
      <c r="I914" s="2"/>
      <c r="J914" s="2"/>
    </row>
    <row r="915" spans="2:10">
      <c r="B915" s="2"/>
      <c r="I915" s="2"/>
      <c r="J915" s="2"/>
    </row>
    <row r="916" spans="2:10">
      <c r="B916" s="2"/>
      <c r="I916" s="2"/>
      <c r="J916" s="2"/>
    </row>
    <row r="917" spans="2:10">
      <c r="B917" s="2"/>
      <c r="I917" s="2"/>
      <c r="J917" s="2"/>
    </row>
    <row r="918" spans="2:10">
      <c r="B918" s="2"/>
      <c r="I918" s="2"/>
      <c r="J918" s="2"/>
    </row>
    <row r="919" spans="2:10">
      <c r="B919" s="2"/>
      <c r="I919" s="2"/>
      <c r="J919" s="2"/>
    </row>
    <row r="920" spans="2:10">
      <c r="B920" s="2"/>
      <c r="I920" s="2"/>
      <c r="J920" s="2"/>
    </row>
    <row r="921" spans="2:10">
      <c r="B921" s="2"/>
      <c r="I921" s="2"/>
      <c r="J921" s="2"/>
    </row>
    <row r="922" spans="2:10">
      <c r="B922" s="2"/>
      <c r="I922" s="2"/>
      <c r="J922" s="2"/>
    </row>
    <row r="923" spans="2:10">
      <c r="B923" s="2"/>
      <c r="I923" s="2"/>
      <c r="J923" s="2"/>
    </row>
    <row r="924" spans="2:10">
      <c r="B924" s="2"/>
      <c r="I924" s="2"/>
      <c r="J924" s="2"/>
    </row>
    <row r="925" spans="2:10">
      <c r="B925" s="2"/>
      <c r="I925" s="2"/>
      <c r="J925" s="2"/>
    </row>
    <row r="926" spans="2:10">
      <c r="B926" s="2"/>
      <c r="I926" s="2"/>
      <c r="J926" s="2"/>
    </row>
    <row r="927" spans="2:10">
      <c r="B927" s="2"/>
      <c r="I927" s="2"/>
      <c r="J927" s="2"/>
    </row>
    <row r="928" spans="2:10">
      <c r="B928" s="2"/>
      <c r="I928" s="2"/>
      <c r="J928" s="2"/>
    </row>
  </sheetData>
  <autoFilter ref="A1:O615" xr:uid="{00000000-0001-0000-0000-000000000000}"/>
  <phoneticPr fontId="6" type="noConversion"/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showGridLines="0" workbookViewId="0">
      <selection activeCell="B11" sqref="B11"/>
    </sheetView>
  </sheetViews>
  <sheetFormatPr defaultColWidth="12.5703125" defaultRowHeight="15" customHeight="1"/>
  <cols>
    <col min="1" max="1" width="8" customWidth="1"/>
    <col min="2" max="2" width="23.140625" customWidth="1"/>
    <col min="3" max="26" width="6.42578125" customWidth="1"/>
  </cols>
  <sheetData>
    <row r="1" spans="1:5">
      <c r="A1" s="10" t="s">
        <v>8</v>
      </c>
      <c r="B1" s="11" t="s">
        <v>968</v>
      </c>
      <c r="E1" s="1" t="s">
        <v>7</v>
      </c>
    </row>
    <row r="2" spans="1:5">
      <c r="A2" s="12">
        <v>0</v>
      </c>
      <c r="B2" s="15">
        <v>404</v>
      </c>
      <c r="E2" s="1" t="s">
        <v>17</v>
      </c>
    </row>
    <row r="3" spans="1:5">
      <c r="A3" s="13">
        <v>1</v>
      </c>
      <c r="B3" s="16">
        <v>1134.8999999999996</v>
      </c>
      <c r="E3" s="1" t="s">
        <v>222</v>
      </c>
    </row>
    <row r="4" spans="1:5">
      <c r="A4" s="13">
        <v>2</v>
      </c>
      <c r="B4" s="16">
        <v>430</v>
      </c>
      <c r="E4" s="1" t="s">
        <v>225</v>
      </c>
    </row>
    <row r="5" spans="1:5">
      <c r="A5" s="13">
        <v>3</v>
      </c>
      <c r="B5" s="16">
        <v>109</v>
      </c>
      <c r="E5" s="1" t="s">
        <v>244</v>
      </c>
    </row>
    <row r="6" spans="1:5">
      <c r="A6" s="13">
        <v>4</v>
      </c>
      <c r="B6" s="16">
        <v>248</v>
      </c>
      <c r="E6" s="1" t="s">
        <v>248</v>
      </c>
    </row>
    <row r="7" spans="1:5">
      <c r="A7" s="13">
        <v>5</v>
      </c>
      <c r="B7" s="16">
        <v>42</v>
      </c>
      <c r="E7" s="1" t="s">
        <v>255</v>
      </c>
    </row>
    <row r="8" spans="1:5">
      <c r="A8" s="13">
        <v>6</v>
      </c>
      <c r="B8" s="16">
        <v>52</v>
      </c>
      <c r="E8" s="1" t="s">
        <v>274</v>
      </c>
    </row>
    <row r="9" spans="1:5">
      <c r="A9" s="13">
        <v>7</v>
      </c>
      <c r="B9" s="16">
        <v>43</v>
      </c>
      <c r="E9" s="1" t="s">
        <v>284</v>
      </c>
    </row>
    <row r="10" spans="1:5">
      <c r="A10" s="13">
        <v>8</v>
      </c>
      <c r="B10" s="16">
        <v>27</v>
      </c>
      <c r="E10" s="1" t="s">
        <v>320</v>
      </c>
    </row>
    <row r="11" spans="1:5">
      <c r="A11" s="13">
        <v>9</v>
      </c>
      <c r="B11" s="16">
        <v>39</v>
      </c>
      <c r="E11" s="1" t="s">
        <v>493</v>
      </c>
    </row>
    <row r="12" spans="1:5">
      <c r="A12" s="13">
        <v>10</v>
      </c>
      <c r="B12" s="16">
        <v>2</v>
      </c>
      <c r="E12" s="1" t="s">
        <v>540</v>
      </c>
    </row>
    <row r="13" spans="1:5">
      <c r="A13" s="13">
        <v>11</v>
      </c>
      <c r="B13" s="16">
        <v>50</v>
      </c>
    </row>
    <row r="14" spans="1:5">
      <c r="A14" s="13">
        <v>12</v>
      </c>
      <c r="B14" s="16">
        <v>2</v>
      </c>
    </row>
    <row r="15" spans="1:5">
      <c r="A15" s="13">
        <v>13</v>
      </c>
      <c r="B15" s="16">
        <v>3</v>
      </c>
    </row>
    <row r="16" spans="1:5" ht="15" customHeight="1">
      <c r="A16" s="13">
        <v>19</v>
      </c>
      <c r="B16" s="16">
        <v>1</v>
      </c>
    </row>
    <row r="17" spans="1:2" ht="15" customHeight="1">
      <c r="A17" s="14" t="s">
        <v>969</v>
      </c>
      <c r="B17" s="17">
        <v>2586.8999999999996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3"/>
  <sheetViews>
    <sheetView workbookViewId="0"/>
  </sheetViews>
  <sheetFormatPr defaultColWidth="12.5703125" defaultRowHeight="15" customHeight="1"/>
  <cols>
    <col min="1" max="1" width="8" customWidth="1"/>
    <col min="2" max="2" width="10.28515625" customWidth="1"/>
    <col min="3" max="5" width="4.28515625" customWidth="1"/>
    <col min="6" max="8" width="7.42578125" customWidth="1"/>
    <col min="9" max="9" width="8.140625" customWidth="1"/>
    <col min="10" max="10" width="9" customWidth="1"/>
    <col min="11" max="26" width="6.4257812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970</v>
      </c>
      <c r="H1" s="1" t="s">
        <v>971</v>
      </c>
      <c r="I1" s="1" t="s">
        <v>7</v>
      </c>
      <c r="J1" s="1" t="s">
        <v>9</v>
      </c>
    </row>
    <row r="2" spans="1:10" ht="14.25" customHeight="1">
      <c r="A2" s="1">
        <v>521672</v>
      </c>
      <c r="B2" s="1" t="s">
        <v>972</v>
      </c>
      <c r="C2" s="1">
        <v>2601</v>
      </c>
      <c r="D2" s="1" t="s">
        <v>973</v>
      </c>
      <c r="E2" s="1">
        <v>5</v>
      </c>
      <c r="F2" s="1" t="s">
        <v>974</v>
      </c>
      <c r="G2" s="1">
        <v>26</v>
      </c>
      <c r="H2" s="1">
        <v>24</v>
      </c>
      <c r="I2" s="1" t="s">
        <v>552</v>
      </c>
    </row>
    <row r="3" spans="1:10" ht="14.25" customHeight="1">
      <c r="A3" s="1">
        <v>521672</v>
      </c>
      <c r="B3" s="1" t="s">
        <v>975</v>
      </c>
      <c r="C3" s="1">
        <v>2601</v>
      </c>
      <c r="D3" s="1" t="s">
        <v>973</v>
      </c>
      <c r="E3" s="1">
        <v>8</v>
      </c>
      <c r="F3" s="1" t="s">
        <v>974</v>
      </c>
      <c r="G3" s="1">
        <v>26</v>
      </c>
      <c r="H3" s="1">
        <v>24</v>
      </c>
      <c r="I3" s="1" t="s">
        <v>552</v>
      </c>
    </row>
    <row r="4" spans="1:10" ht="14.25" customHeight="1">
      <c r="A4" s="1">
        <v>521672</v>
      </c>
      <c r="B4" s="1" t="s">
        <v>976</v>
      </c>
      <c r="C4" s="1">
        <v>2601</v>
      </c>
      <c r="D4" s="1" t="s">
        <v>973</v>
      </c>
      <c r="E4" s="1">
        <v>16</v>
      </c>
      <c r="F4" s="1" t="s">
        <v>977</v>
      </c>
      <c r="G4" s="1">
        <v>30</v>
      </c>
      <c r="H4" s="1">
        <v>23</v>
      </c>
      <c r="I4" s="1" t="s">
        <v>552</v>
      </c>
    </row>
    <row r="5" spans="1:10" ht="14.25" customHeight="1">
      <c r="A5" s="1">
        <v>521672</v>
      </c>
      <c r="B5" s="1" t="s">
        <v>978</v>
      </c>
      <c r="C5" s="1">
        <v>2601</v>
      </c>
      <c r="D5" s="1" t="s">
        <v>973</v>
      </c>
      <c r="E5" s="1">
        <v>14</v>
      </c>
      <c r="F5" s="1" t="s">
        <v>974</v>
      </c>
      <c r="G5" s="1">
        <v>26</v>
      </c>
      <c r="H5" s="1">
        <v>23</v>
      </c>
      <c r="I5" s="1" t="s">
        <v>552</v>
      </c>
    </row>
    <row r="6" spans="1:10" ht="14.25" customHeight="1">
      <c r="A6" s="1">
        <v>521672</v>
      </c>
      <c r="B6" s="1" t="s">
        <v>979</v>
      </c>
      <c r="C6" s="1">
        <v>2601</v>
      </c>
      <c r="D6" s="1" t="s">
        <v>973</v>
      </c>
      <c r="E6" s="1">
        <v>14</v>
      </c>
      <c r="F6" s="1" t="s">
        <v>980</v>
      </c>
      <c r="G6" s="1">
        <v>27</v>
      </c>
      <c r="H6" s="1">
        <v>24</v>
      </c>
      <c r="I6" s="1" t="s">
        <v>552</v>
      </c>
    </row>
    <row r="7" spans="1:10" ht="14.25" customHeight="1">
      <c r="A7" s="1">
        <v>521687</v>
      </c>
      <c r="B7" s="1" t="s">
        <v>981</v>
      </c>
      <c r="C7" s="1">
        <v>2601</v>
      </c>
      <c r="D7" s="1" t="s">
        <v>982</v>
      </c>
      <c r="E7" s="1">
        <v>4</v>
      </c>
      <c r="F7" s="1" t="s">
        <v>974</v>
      </c>
      <c r="G7" s="1">
        <v>26</v>
      </c>
      <c r="H7" s="1">
        <v>23</v>
      </c>
      <c r="I7" s="1" t="s">
        <v>552</v>
      </c>
    </row>
    <row r="8" spans="1:10" ht="14.25" customHeight="1">
      <c r="A8" s="1">
        <v>521687</v>
      </c>
      <c r="B8" s="1" t="s">
        <v>983</v>
      </c>
      <c r="C8" s="1">
        <v>2601</v>
      </c>
      <c r="D8" s="1" t="s">
        <v>982</v>
      </c>
      <c r="E8" s="1">
        <v>6</v>
      </c>
      <c r="F8" s="1" t="s">
        <v>974</v>
      </c>
      <c r="G8" s="1">
        <v>26</v>
      </c>
      <c r="H8" s="1">
        <v>24</v>
      </c>
      <c r="I8" s="1" t="s">
        <v>552</v>
      </c>
    </row>
    <row r="9" spans="1:10" ht="14.25" customHeight="1">
      <c r="A9" s="1">
        <v>521687</v>
      </c>
      <c r="B9" s="1" t="s">
        <v>984</v>
      </c>
      <c r="C9" s="1">
        <v>2601</v>
      </c>
      <c r="D9" s="1" t="s">
        <v>982</v>
      </c>
      <c r="E9" s="1">
        <v>22</v>
      </c>
      <c r="F9" s="1" t="s">
        <v>974</v>
      </c>
      <c r="G9" s="1">
        <v>30</v>
      </c>
      <c r="H9" s="1">
        <v>24</v>
      </c>
      <c r="I9" s="1" t="s">
        <v>552</v>
      </c>
    </row>
    <row r="10" spans="1:10" ht="14.25" customHeight="1">
      <c r="A10" s="1">
        <v>521687</v>
      </c>
      <c r="B10" s="1" t="s">
        <v>985</v>
      </c>
      <c r="C10" s="1">
        <v>2601</v>
      </c>
      <c r="D10" s="1" t="s">
        <v>982</v>
      </c>
      <c r="E10" s="1">
        <v>22</v>
      </c>
      <c r="F10" s="1" t="s">
        <v>974</v>
      </c>
      <c r="G10" s="1">
        <v>26</v>
      </c>
      <c r="H10" s="1">
        <v>24</v>
      </c>
      <c r="I10" s="1" t="s">
        <v>552</v>
      </c>
    </row>
    <row r="11" spans="1:10" ht="14.25" customHeight="1">
      <c r="A11" s="1">
        <v>521687</v>
      </c>
      <c r="B11" s="1" t="s">
        <v>986</v>
      </c>
      <c r="C11" s="1">
        <v>2601</v>
      </c>
      <c r="D11" s="1" t="s">
        <v>982</v>
      </c>
      <c r="E11" s="1">
        <v>22</v>
      </c>
      <c r="F11" s="1" t="s">
        <v>974</v>
      </c>
      <c r="G11" s="1">
        <v>26</v>
      </c>
      <c r="H11" s="1">
        <v>23</v>
      </c>
      <c r="I11" s="1" t="s">
        <v>552</v>
      </c>
    </row>
    <row r="12" spans="1:10" ht="14.25" customHeight="1">
      <c r="A12" s="1">
        <v>522723</v>
      </c>
      <c r="B12" s="1" t="s">
        <v>987</v>
      </c>
      <c r="C12" s="1">
        <v>2601</v>
      </c>
      <c r="D12" s="1" t="s">
        <v>988</v>
      </c>
      <c r="E12" s="1">
        <v>6</v>
      </c>
      <c r="F12" s="1" t="s">
        <v>974</v>
      </c>
      <c r="G12" s="1">
        <v>26</v>
      </c>
      <c r="H12" s="1"/>
      <c r="I12" s="1" t="s">
        <v>552</v>
      </c>
    </row>
    <row r="13" spans="1:10" ht="14.25" customHeight="1">
      <c r="A13" s="1">
        <v>522723</v>
      </c>
      <c r="B13" s="1" t="s">
        <v>989</v>
      </c>
      <c r="C13" s="1">
        <v>2601</v>
      </c>
      <c r="D13" s="1" t="s">
        <v>988</v>
      </c>
      <c r="E13" s="1">
        <v>6</v>
      </c>
      <c r="F13" s="1" t="s">
        <v>990</v>
      </c>
      <c r="G13" s="1">
        <v>29</v>
      </c>
      <c r="H13" s="1"/>
      <c r="I13" s="1" t="s">
        <v>552</v>
      </c>
    </row>
    <row r="14" spans="1:10" ht="14.25" customHeight="1">
      <c r="A14" s="1">
        <v>522723</v>
      </c>
      <c r="B14" s="1" t="s">
        <v>991</v>
      </c>
      <c r="C14" s="1">
        <v>2601</v>
      </c>
      <c r="D14" s="1" t="s">
        <v>988</v>
      </c>
      <c r="E14" s="1">
        <v>6</v>
      </c>
      <c r="F14" s="1" t="s">
        <v>992</v>
      </c>
      <c r="G14" s="1">
        <v>28</v>
      </c>
      <c r="H14" s="1"/>
      <c r="I14" s="1" t="s">
        <v>552</v>
      </c>
    </row>
    <row r="15" spans="1:10" ht="14.25" customHeight="1">
      <c r="A15" s="1">
        <v>522723</v>
      </c>
      <c r="B15" s="1" t="s">
        <v>993</v>
      </c>
      <c r="C15" s="1">
        <v>2601</v>
      </c>
      <c r="D15" s="1" t="s">
        <v>988</v>
      </c>
      <c r="E15" s="1">
        <v>15</v>
      </c>
      <c r="F15" s="1" t="s">
        <v>994</v>
      </c>
      <c r="G15" s="1">
        <v>25</v>
      </c>
      <c r="H15" s="1"/>
      <c r="I15" s="1" t="s">
        <v>552</v>
      </c>
    </row>
    <row r="16" spans="1:10" ht="14.25" customHeight="1">
      <c r="A16" s="1">
        <v>522723</v>
      </c>
      <c r="B16" s="1" t="s">
        <v>995</v>
      </c>
      <c r="C16" s="1">
        <v>2601</v>
      </c>
      <c r="D16" s="1" t="s">
        <v>988</v>
      </c>
      <c r="E16" s="1">
        <v>14</v>
      </c>
      <c r="F16" s="1" t="s">
        <v>996</v>
      </c>
      <c r="G16" s="1">
        <v>31</v>
      </c>
      <c r="H16" s="1"/>
      <c r="I16" s="1" t="s">
        <v>552</v>
      </c>
    </row>
    <row r="17" spans="1:9" ht="14.25" customHeight="1">
      <c r="A17" s="1">
        <v>522723</v>
      </c>
      <c r="B17" s="1" t="s">
        <v>997</v>
      </c>
      <c r="C17" s="1">
        <v>2601</v>
      </c>
      <c r="D17" s="1" t="s">
        <v>988</v>
      </c>
      <c r="E17" s="1">
        <v>16</v>
      </c>
      <c r="F17" s="1" t="s">
        <v>974</v>
      </c>
      <c r="G17" s="1">
        <v>26</v>
      </c>
      <c r="H17" s="1"/>
      <c r="I17" s="1" t="s">
        <v>552</v>
      </c>
    </row>
    <row r="18" spans="1:9" ht="14.25" customHeight="1">
      <c r="A18" s="1">
        <v>522725</v>
      </c>
      <c r="B18" s="1" t="s">
        <v>998</v>
      </c>
      <c r="C18" s="1">
        <v>2601</v>
      </c>
      <c r="D18" s="1" t="s">
        <v>999</v>
      </c>
      <c r="E18" s="1">
        <v>6</v>
      </c>
      <c r="F18" s="1" t="s">
        <v>974</v>
      </c>
      <c r="G18" s="1">
        <v>26</v>
      </c>
      <c r="H18" s="1"/>
      <c r="I18" s="1" t="s">
        <v>552</v>
      </c>
    </row>
    <row r="19" spans="1:9" ht="14.25" customHeight="1">
      <c r="A19" s="1">
        <v>522725</v>
      </c>
      <c r="B19" s="1" t="s">
        <v>1000</v>
      </c>
      <c r="C19" s="1">
        <v>2601</v>
      </c>
      <c r="D19" s="1" t="s">
        <v>999</v>
      </c>
      <c r="E19" s="1">
        <v>6</v>
      </c>
      <c r="F19" s="1" t="s">
        <v>990</v>
      </c>
      <c r="G19" s="1">
        <v>29</v>
      </c>
      <c r="H19" s="1"/>
      <c r="I19" s="1" t="s">
        <v>552</v>
      </c>
    </row>
    <row r="20" spans="1:9" ht="14.25" customHeight="1">
      <c r="A20" s="1">
        <v>522725</v>
      </c>
      <c r="B20" s="1" t="s">
        <v>1001</v>
      </c>
      <c r="C20" s="1">
        <v>2601</v>
      </c>
      <c r="D20" s="1" t="s">
        <v>999</v>
      </c>
      <c r="E20" s="1">
        <v>4</v>
      </c>
      <c r="F20" s="1" t="s">
        <v>992</v>
      </c>
      <c r="G20" s="1">
        <v>28</v>
      </c>
      <c r="H20" s="1"/>
      <c r="I20" s="1" t="s">
        <v>552</v>
      </c>
    </row>
    <row r="21" spans="1:9" ht="14.25" customHeight="1">
      <c r="A21" s="1">
        <v>522725</v>
      </c>
      <c r="B21" s="1" t="s">
        <v>1002</v>
      </c>
      <c r="C21" s="1">
        <v>2601</v>
      </c>
      <c r="D21" s="1" t="s">
        <v>999</v>
      </c>
      <c r="E21" s="1">
        <v>16</v>
      </c>
      <c r="F21" s="1" t="s">
        <v>994</v>
      </c>
      <c r="G21" s="1">
        <v>25</v>
      </c>
      <c r="H21" s="1"/>
      <c r="I21" s="1" t="s">
        <v>552</v>
      </c>
    </row>
    <row r="22" spans="1:9" ht="14.25" customHeight="1">
      <c r="A22" s="1">
        <v>522725</v>
      </c>
      <c r="B22" s="1" t="s">
        <v>1003</v>
      </c>
      <c r="C22" s="1">
        <v>2601</v>
      </c>
      <c r="D22" s="1" t="s">
        <v>999</v>
      </c>
      <c r="E22" s="1">
        <v>16</v>
      </c>
      <c r="F22" s="1" t="s">
        <v>974</v>
      </c>
      <c r="G22" s="1">
        <v>26</v>
      </c>
      <c r="H22" s="1"/>
      <c r="I22" s="1" t="s">
        <v>552</v>
      </c>
    </row>
    <row r="23" spans="1:9" ht="14.25" customHeight="1">
      <c r="A23" s="1">
        <v>524790</v>
      </c>
      <c r="B23" s="1" t="s">
        <v>1004</v>
      </c>
      <c r="C23" s="1">
        <v>2601</v>
      </c>
      <c r="D23" s="1" t="s">
        <v>1005</v>
      </c>
      <c r="E23" s="1">
        <v>5</v>
      </c>
      <c r="F23" s="1" t="s">
        <v>992</v>
      </c>
      <c r="G23" s="1">
        <v>28</v>
      </c>
      <c r="H23" s="1"/>
      <c r="I23" s="1" t="s">
        <v>552</v>
      </c>
    </row>
    <row r="24" spans="1:9" ht="14.25" customHeight="1">
      <c r="A24" s="1">
        <v>524790</v>
      </c>
      <c r="B24" s="1" t="s">
        <v>1006</v>
      </c>
      <c r="C24" s="1">
        <v>2601</v>
      </c>
      <c r="D24" s="1" t="s">
        <v>1005</v>
      </c>
      <c r="E24" s="1">
        <v>9</v>
      </c>
      <c r="F24" s="1" t="s">
        <v>992</v>
      </c>
      <c r="G24" s="1">
        <v>28</v>
      </c>
      <c r="H24" s="1"/>
      <c r="I24" s="1" t="s">
        <v>552</v>
      </c>
    </row>
    <row r="25" spans="1:9" ht="14.25" customHeight="1">
      <c r="A25" s="1">
        <v>524790</v>
      </c>
      <c r="B25" s="1" t="s">
        <v>1007</v>
      </c>
      <c r="C25" s="1">
        <v>2601</v>
      </c>
      <c r="D25" s="1" t="s">
        <v>1005</v>
      </c>
      <c r="E25" s="1">
        <v>14</v>
      </c>
      <c r="F25" s="1" t="s">
        <v>992</v>
      </c>
      <c r="G25" s="1">
        <v>28</v>
      </c>
      <c r="H25" s="1"/>
      <c r="I25" s="1" t="s">
        <v>552</v>
      </c>
    </row>
    <row r="26" spans="1:9" ht="14.25" customHeight="1">
      <c r="A26" s="1">
        <v>524790</v>
      </c>
      <c r="B26" s="1" t="s">
        <v>1008</v>
      </c>
      <c r="C26" s="1">
        <v>2601</v>
      </c>
      <c r="D26" s="1" t="s">
        <v>1005</v>
      </c>
      <c r="E26" s="1">
        <v>13</v>
      </c>
      <c r="F26" s="1" t="s">
        <v>996</v>
      </c>
      <c r="G26" s="1">
        <v>31</v>
      </c>
      <c r="H26" s="1"/>
      <c r="I26" s="1" t="s">
        <v>552</v>
      </c>
    </row>
    <row r="27" spans="1:9" ht="14.25" customHeight="1">
      <c r="A27" s="1">
        <v>524793</v>
      </c>
      <c r="B27" s="1" t="s">
        <v>1009</v>
      </c>
      <c r="C27" s="1">
        <v>2601</v>
      </c>
      <c r="D27" s="1" t="s">
        <v>1010</v>
      </c>
      <c r="E27" s="1">
        <v>12</v>
      </c>
      <c r="F27" s="1" t="s">
        <v>992</v>
      </c>
      <c r="G27" s="1">
        <v>28</v>
      </c>
      <c r="H27" s="1"/>
      <c r="I27" s="1" t="s">
        <v>552</v>
      </c>
    </row>
    <row r="28" spans="1:9" ht="14.25" customHeight="1">
      <c r="A28" s="1">
        <v>524793</v>
      </c>
      <c r="B28" s="1" t="s">
        <v>1011</v>
      </c>
      <c r="C28" s="1">
        <v>2601</v>
      </c>
      <c r="D28" s="1" t="s">
        <v>1010</v>
      </c>
      <c r="E28" s="1">
        <v>16</v>
      </c>
      <c r="F28" s="1" t="s">
        <v>992</v>
      </c>
      <c r="G28" s="1">
        <v>28</v>
      </c>
      <c r="H28" s="1"/>
      <c r="I28" s="1" t="s">
        <v>552</v>
      </c>
    </row>
    <row r="29" spans="1:9" ht="14.25" customHeight="1">
      <c r="A29" s="1">
        <v>524793</v>
      </c>
      <c r="B29" s="1" t="s">
        <v>1012</v>
      </c>
      <c r="C29" s="1">
        <v>2601</v>
      </c>
      <c r="D29" s="1" t="s">
        <v>1010</v>
      </c>
      <c r="E29" s="1">
        <v>16</v>
      </c>
      <c r="F29" s="1" t="s">
        <v>992</v>
      </c>
      <c r="G29" s="1">
        <v>28</v>
      </c>
      <c r="H29" s="1"/>
      <c r="I29" s="1" t="s">
        <v>552</v>
      </c>
    </row>
    <row r="30" spans="1:9" ht="14.25" customHeight="1">
      <c r="A30" s="1">
        <v>524793</v>
      </c>
      <c r="B30" s="1" t="s">
        <v>1013</v>
      </c>
      <c r="C30" s="1">
        <v>2601</v>
      </c>
      <c r="D30" s="1" t="s">
        <v>1010</v>
      </c>
      <c r="E30" s="1">
        <v>16</v>
      </c>
      <c r="F30" s="1" t="s">
        <v>996</v>
      </c>
      <c r="G30" s="1">
        <v>31</v>
      </c>
      <c r="H30" s="1"/>
      <c r="I30" s="1" t="s">
        <v>552</v>
      </c>
    </row>
    <row r="31" spans="1:9" ht="14.25" customHeight="1">
      <c r="A31" s="1">
        <v>524793</v>
      </c>
      <c r="B31" s="1" t="s">
        <v>1014</v>
      </c>
      <c r="C31" s="1">
        <v>2601</v>
      </c>
      <c r="D31" s="1" t="s">
        <v>1010</v>
      </c>
      <c r="E31" s="1">
        <v>15</v>
      </c>
      <c r="F31" s="1" t="s">
        <v>990</v>
      </c>
      <c r="G31" s="1">
        <v>29</v>
      </c>
      <c r="H31" s="1"/>
      <c r="I31" s="1" t="s">
        <v>552</v>
      </c>
    </row>
    <row r="32" spans="1:9" ht="14.25" customHeight="1">
      <c r="A32" s="1">
        <v>524800</v>
      </c>
      <c r="B32" s="1" t="s">
        <v>1015</v>
      </c>
      <c r="C32" s="1">
        <v>2601</v>
      </c>
      <c r="D32" s="1" t="s">
        <v>1016</v>
      </c>
      <c r="E32" s="1">
        <v>13</v>
      </c>
      <c r="F32" s="1" t="s">
        <v>992</v>
      </c>
      <c r="G32" s="1">
        <v>28</v>
      </c>
      <c r="H32" s="1"/>
      <c r="I32" s="1" t="s">
        <v>552</v>
      </c>
    </row>
    <row r="33" spans="1:9" ht="14.25" customHeight="1">
      <c r="A33" s="1">
        <v>524800</v>
      </c>
      <c r="B33" s="1" t="s">
        <v>1017</v>
      </c>
      <c r="C33" s="1">
        <v>2601</v>
      </c>
      <c r="D33" s="1" t="s">
        <v>1016</v>
      </c>
      <c r="E33" s="1">
        <v>13</v>
      </c>
      <c r="F33" s="1" t="s">
        <v>992</v>
      </c>
      <c r="G33" s="1">
        <v>28</v>
      </c>
      <c r="H33" s="1"/>
      <c r="I33" s="1" t="s">
        <v>552</v>
      </c>
    </row>
    <row r="34" spans="1:9" ht="14.25" customHeight="1">
      <c r="A34" s="1">
        <v>524800</v>
      </c>
      <c r="B34" s="1" t="s">
        <v>1018</v>
      </c>
      <c r="C34" s="1">
        <v>2601</v>
      </c>
      <c r="D34" s="1" t="s">
        <v>1016</v>
      </c>
      <c r="E34" s="1">
        <v>14</v>
      </c>
      <c r="F34" s="1" t="s">
        <v>992</v>
      </c>
      <c r="G34" s="1">
        <v>28</v>
      </c>
      <c r="H34" s="1"/>
      <c r="I34" s="1" t="s">
        <v>552</v>
      </c>
    </row>
    <row r="35" spans="1:9" ht="14.25" customHeight="1">
      <c r="A35" s="1">
        <v>524800</v>
      </c>
      <c r="B35" s="1" t="s">
        <v>1019</v>
      </c>
      <c r="C35" s="1">
        <v>2601</v>
      </c>
      <c r="D35" s="1" t="s">
        <v>1016</v>
      </c>
      <c r="E35" s="1">
        <v>12</v>
      </c>
      <c r="F35" s="1" t="s">
        <v>996</v>
      </c>
      <c r="G35" s="1">
        <v>31</v>
      </c>
      <c r="H35" s="1"/>
      <c r="I35" s="1" t="s">
        <v>552</v>
      </c>
    </row>
    <row r="36" spans="1:9" ht="14.25" customHeight="1">
      <c r="A36" s="1">
        <v>524800</v>
      </c>
      <c r="B36" s="1" t="s">
        <v>1020</v>
      </c>
      <c r="C36" s="1">
        <v>2601</v>
      </c>
      <c r="D36" s="1" t="s">
        <v>1016</v>
      </c>
      <c r="E36" s="1">
        <v>12</v>
      </c>
      <c r="F36" s="1" t="s">
        <v>990</v>
      </c>
      <c r="G36" s="1">
        <v>29</v>
      </c>
      <c r="H36" s="1"/>
      <c r="I36" s="1" t="s">
        <v>552</v>
      </c>
    </row>
    <row r="37" spans="1:9" ht="14.25" customHeight="1">
      <c r="A37" s="1">
        <v>524813</v>
      </c>
      <c r="B37" s="1" t="s">
        <v>1021</v>
      </c>
      <c r="C37" s="1">
        <v>2601</v>
      </c>
      <c r="D37" s="1" t="s">
        <v>1022</v>
      </c>
      <c r="E37" s="1">
        <v>5</v>
      </c>
      <c r="F37" s="1" t="s">
        <v>992</v>
      </c>
      <c r="G37" s="1">
        <v>28</v>
      </c>
      <c r="H37" s="1"/>
      <c r="I37" s="1" t="s">
        <v>552</v>
      </c>
    </row>
    <row r="38" spans="1:9" ht="14.25" customHeight="1">
      <c r="A38" s="1">
        <v>524813</v>
      </c>
      <c r="B38" s="1" t="s">
        <v>1023</v>
      </c>
      <c r="C38" s="1">
        <v>2601</v>
      </c>
      <c r="D38" s="1" t="s">
        <v>1022</v>
      </c>
      <c r="E38" s="1">
        <v>10</v>
      </c>
      <c r="F38" s="1" t="s">
        <v>992</v>
      </c>
      <c r="G38" s="1">
        <v>28</v>
      </c>
      <c r="H38" s="1"/>
      <c r="I38" s="1" t="s">
        <v>552</v>
      </c>
    </row>
    <row r="39" spans="1:9" ht="14.25" customHeight="1">
      <c r="A39" s="1">
        <v>524813</v>
      </c>
      <c r="B39" s="1" t="s">
        <v>1024</v>
      </c>
      <c r="C39" s="1">
        <v>2601</v>
      </c>
      <c r="D39" s="1" t="s">
        <v>1022</v>
      </c>
      <c r="E39" s="1">
        <v>14</v>
      </c>
      <c r="F39" s="1" t="s">
        <v>992</v>
      </c>
      <c r="G39" s="1">
        <v>28</v>
      </c>
      <c r="H39" s="1"/>
      <c r="I39" s="1" t="s">
        <v>552</v>
      </c>
    </row>
    <row r="40" spans="1:9" ht="14.25" customHeight="1">
      <c r="A40" s="1">
        <v>524813</v>
      </c>
      <c r="B40" s="1" t="s">
        <v>1025</v>
      </c>
      <c r="C40" s="1">
        <v>2601</v>
      </c>
      <c r="D40" s="1" t="s">
        <v>1022</v>
      </c>
      <c r="E40" s="1">
        <v>14</v>
      </c>
      <c r="F40" s="1" t="s">
        <v>996</v>
      </c>
      <c r="G40" s="1">
        <v>31</v>
      </c>
      <c r="H40" s="1"/>
      <c r="I40" s="1" t="s">
        <v>552</v>
      </c>
    </row>
    <row r="41" spans="1:9" ht="14.25" customHeight="1">
      <c r="A41" s="1">
        <v>521693</v>
      </c>
      <c r="B41" s="1" t="s">
        <v>1026</v>
      </c>
      <c r="C41" s="1">
        <v>2601</v>
      </c>
      <c r="D41" s="1" t="s">
        <v>1027</v>
      </c>
      <c r="E41" s="1">
        <v>14</v>
      </c>
      <c r="F41" s="1" t="s">
        <v>974</v>
      </c>
      <c r="G41" s="1">
        <v>26</v>
      </c>
      <c r="H41" s="1">
        <v>23</v>
      </c>
      <c r="I41" s="1" t="s">
        <v>552</v>
      </c>
    </row>
    <row r="42" spans="1:9" ht="13.5" customHeight="1">
      <c r="A42" s="1">
        <v>521693</v>
      </c>
      <c r="B42" s="1" t="s">
        <v>1028</v>
      </c>
      <c r="C42" s="1">
        <v>2601</v>
      </c>
      <c r="D42" s="1" t="s">
        <v>1027</v>
      </c>
      <c r="E42" s="1">
        <v>37</v>
      </c>
      <c r="F42" s="1" t="s">
        <v>974</v>
      </c>
      <c r="G42" s="1">
        <v>26</v>
      </c>
      <c r="H42" s="1">
        <v>23</v>
      </c>
      <c r="I42" s="1" t="s">
        <v>552</v>
      </c>
    </row>
    <row r="43" spans="1:9" ht="13.5" customHeight="1">
      <c r="A43" s="1">
        <v>521693</v>
      </c>
      <c r="B43" s="1" t="s">
        <v>1029</v>
      </c>
      <c r="C43" s="1">
        <v>2602</v>
      </c>
      <c r="D43" s="1" t="s">
        <v>1027</v>
      </c>
      <c r="E43" s="1">
        <v>14</v>
      </c>
      <c r="F43" s="1" t="s">
        <v>974</v>
      </c>
      <c r="G43" s="1">
        <v>26</v>
      </c>
      <c r="H43" s="1">
        <v>25</v>
      </c>
      <c r="I43" s="1" t="s">
        <v>552</v>
      </c>
    </row>
    <row r="44" spans="1:9" ht="13.5" customHeight="1">
      <c r="A44" s="1">
        <v>521693</v>
      </c>
      <c r="B44" s="1" t="s">
        <v>1030</v>
      </c>
      <c r="C44" s="1">
        <v>2603</v>
      </c>
      <c r="D44" s="1" t="s">
        <v>1027</v>
      </c>
      <c r="E44" s="1">
        <v>37</v>
      </c>
      <c r="F44" s="1" t="s">
        <v>974</v>
      </c>
      <c r="G44" s="1">
        <v>26</v>
      </c>
      <c r="H44" s="1">
        <v>25</v>
      </c>
      <c r="I44" s="1" t="s">
        <v>552</v>
      </c>
    </row>
    <row r="45" spans="1:9" ht="13.5" customHeight="1">
      <c r="A45" s="1">
        <v>522720</v>
      </c>
      <c r="B45" s="1" t="s">
        <v>1031</v>
      </c>
      <c r="C45" s="1">
        <v>2601</v>
      </c>
      <c r="D45" s="1" t="s">
        <v>1032</v>
      </c>
      <c r="E45" s="1">
        <v>8</v>
      </c>
      <c r="F45" s="1" t="s">
        <v>974</v>
      </c>
      <c r="G45" s="1">
        <v>26</v>
      </c>
      <c r="H45" s="1"/>
      <c r="I45" s="1" t="s">
        <v>552</v>
      </c>
    </row>
    <row r="46" spans="1:9" ht="13.5" customHeight="1">
      <c r="A46" s="1">
        <v>522720</v>
      </c>
      <c r="B46" s="1" t="s">
        <v>1033</v>
      </c>
      <c r="C46" s="1">
        <v>2601</v>
      </c>
      <c r="D46" s="1" t="s">
        <v>1032</v>
      </c>
      <c r="E46" s="1">
        <v>8</v>
      </c>
      <c r="F46" s="1" t="s">
        <v>990</v>
      </c>
      <c r="G46" s="1">
        <v>29</v>
      </c>
      <c r="H46" s="1"/>
      <c r="I46" s="1" t="s">
        <v>552</v>
      </c>
    </row>
    <row r="47" spans="1:9" ht="13.5" customHeight="1">
      <c r="A47" s="1">
        <v>522720</v>
      </c>
      <c r="B47" s="1" t="s">
        <v>1034</v>
      </c>
      <c r="C47" s="1">
        <v>2601</v>
      </c>
      <c r="D47" s="1" t="s">
        <v>1032</v>
      </c>
      <c r="E47" s="1">
        <v>12</v>
      </c>
      <c r="F47" s="1" t="s">
        <v>994</v>
      </c>
      <c r="G47" s="1">
        <v>25</v>
      </c>
      <c r="H47" s="1"/>
      <c r="I47" s="1" t="s">
        <v>552</v>
      </c>
    </row>
    <row r="48" spans="1:9" ht="13.5" customHeight="1">
      <c r="A48" s="1">
        <v>522720</v>
      </c>
      <c r="B48" s="1" t="s">
        <v>1035</v>
      </c>
      <c r="C48" s="1">
        <v>2601</v>
      </c>
      <c r="D48" s="1" t="s">
        <v>1032</v>
      </c>
      <c r="E48" s="1">
        <v>12</v>
      </c>
      <c r="F48" s="1" t="s">
        <v>996</v>
      </c>
      <c r="G48" s="1">
        <v>31</v>
      </c>
      <c r="H48" s="1"/>
      <c r="I48" s="1" t="s">
        <v>552</v>
      </c>
    </row>
    <row r="49" spans="1:9" ht="13.5" customHeight="1">
      <c r="A49" s="1">
        <v>522720</v>
      </c>
      <c r="B49" s="1" t="s">
        <v>1036</v>
      </c>
      <c r="C49" s="1">
        <v>2601</v>
      </c>
      <c r="D49" s="1" t="s">
        <v>1032</v>
      </c>
      <c r="E49" s="1">
        <v>14</v>
      </c>
      <c r="F49" s="1" t="s">
        <v>974</v>
      </c>
      <c r="G49" s="1">
        <v>26</v>
      </c>
      <c r="H49" s="1"/>
      <c r="I49" s="1" t="s">
        <v>552</v>
      </c>
    </row>
    <row r="50" spans="1:9" ht="14.25" customHeight="1">
      <c r="A50" s="1">
        <v>522720</v>
      </c>
      <c r="B50" s="1" t="s">
        <v>1037</v>
      </c>
      <c r="C50" s="1">
        <v>2601</v>
      </c>
      <c r="D50" s="1" t="s">
        <v>1038</v>
      </c>
      <c r="E50" s="1">
        <v>14</v>
      </c>
      <c r="F50" s="1" t="s">
        <v>974</v>
      </c>
      <c r="G50" s="1">
        <v>26</v>
      </c>
      <c r="I50" s="1" t="s">
        <v>552</v>
      </c>
    </row>
    <row r="51" spans="1:9" ht="14.25" customHeight="1">
      <c r="A51" s="1">
        <v>522724</v>
      </c>
      <c r="B51" s="1" t="s">
        <v>1039</v>
      </c>
      <c r="C51" s="1">
        <v>2601</v>
      </c>
      <c r="D51" s="1" t="s">
        <v>1038</v>
      </c>
      <c r="E51" s="1">
        <v>8</v>
      </c>
      <c r="F51" s="1" t="s">
        <v>974</v>
      </c>
      <c r="G51" s="1">
        <v>26</v>
      </c>
      <c r="I51" s="1" t="s">
        <v>552</v>
      </c>
    </row>
    <row r="52" spans="1:9" ht="14.25" customHeight="1">
      <c r="A52" s="1">
        <v>522724</v>
      </c>
      <c r="B52" s="1" t="s">
        <v>1040</v>
      </c>
      <c r="C52" s="1">
        <v>2601</v>
      </c>
      <c r="D52" s="1" t="s">
        <v>1038</v>
      </c>
      <c r="E52" s="1">
        <v>6</v>
      </c>
      <c r="F52" s="1" t="s">
        <v>990</v>
      </c>
      <c r="G52" s="1">
        <v>25</v>
      </c>
      <c r="I52" s="1" t="s">
        <v>552</v>
      </c>
    </row>
    <row r="53" spans="1:9" ht="14.25" customHeight="1">
      <c r="A53" s="1">
        <v>522724</v>
      </c>
      <c r="B53" s="1" t="s">
        <v>1041</v>
      </c>
      <c r="C53" s="1">
        <v>2601</v>
      </c>
      <c r="D53" s="1" t="s">
        <v>1038</v>
      </c>
      <c r="E53" s="1">
        <v>14</v>
      </c>
      <c r="F53" s="1" t="s">
        <v>994</v>
      </c>
      <c r="G53" s="1">
        <v>25</v>
      </c>
      <c r="I53" s="1" t="s">
        <v>552</v>
      </c>
    </row>
    <row r="54" spans="1:9" ht="14.25" customHeight="1">
      <c r="A54" s="1">
        <v>522724</v>
      </c>
      <c r="B54" s="1" t="s">
        <v>1042</v>
      </c>
      <c r="C54" s="1">
        <v>2601</v>
      </c>
      <c r="D54" s="1" t="s">
        <v>1038</v>
      </c>
      <c r="E54" s="1">
        <v>14</v>
      </c>
      <c r="F54" s="1" t="s">
        <v>974</v>
      </c>
      <c r="G54" s="1">
        <v>25</v>
      </c>
      <c r="I54" s="1" t="s">
        <v>552</v>
      </c>
    </row>
    <row r="55" spans="1:9" ht="14.25" customHeight="1">
      <c r="A55" s="1">
        <v>522724</v>
      </c>
      <c r="B55" s="1" t="s">
        <v>1043</v>
      </c>
      <c r="C55" s="1">
        <v>2602</v>
      </c>
      <c r="D55" s="1" t="s">
        <v>1038</v>
      </c>
      <c r="E55" s="1">
        <v>14</v>
      </c>
      <c r="F55" s="1" t="s">
        <v>974</v>
      </c>
      <c r="G55" s="1">
        <v>25</v>
      </c>
      <c r="I55" s="1" t="s">
        <v>552</v>
      </c>
    </row>
    <row r="56" spans="1:9" ht="14.25" customHeight="1"/>
    <row r="57" spans="1:9" ht="14.25" customHeight="1"/>
    <row r="58" spans="1:9" ht="14.25" customHeight="1"/>
    <row r="59" spans="1:9" ht="14.25" customHeight="1"/>
    <row r="60" spans="1:9" ht="14.25" customHeight="1"/>
    <row r="61" spans="1:9" ht="14.25" customHeight="1"/>
    <row r="62" spans="1:9" ht="14.25" customHeight="1"/>
    <row r="63" spans="1:9" ht="14.25" customHeight="1"/>
    <row r="64" spans="1: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A1:J55" xr:uid="{00000000-0009-0000-0000-000002000000}"/>
  <phoneticPr fontId="6" type="noConversion"/>
  <pageMargins left="0.7" right="0.7" top="0.78740157499999996" bottom="0.78740157499999996" header="0" footer="0"/>
  <pageSetup orientation="landscape"/>
</worksheet>
</file>

<file path=docMetadata/LabelInfo.xml><?xml version="1.0" encoding="utf-8"?>
<clbl:labelList xmlns:clbl="http://schemas.microsoft.com/office/2020/mipLabelMetadata">
  <clbl:label id="{60b37cb2-a399-4c31-a85a-411fc8b623d3}" enabled="1" method="Standard" siteId="{d04f4717-5a6e-4b98-b3f9-6918e0385f4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 Katharina Schimmer</dc:creator>
  <cp:keywords/>
  <dc:description/>
  <cp:lastModifiedBy>Dorothy Zhang</cp:lastModifiedBy>
  <cp:revision/>
  <dcterms:created xsi:type="dcterms:W3CDTF">2026-04-01T08:58:19Z</dcterms:created>
  <dcterms:modified xsi:type="dcterms:W3CDTF">2026-05-13T02:18:10Z</dcterms:modified>
  <cp:category/>
  <cp:contentStatus/>
</cp:coreProperties>
</file>